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rams" sheetId="2" state="visible" r:id="rId4"/>
    <sheet name="Tiers" sheetId="3" state="visible" r:id="rId5"/>
    <sheet name="Rank_Model" sheetId="4" state="visible" r:id="rId6"/>
    <sheet name="Prestige_Pacing" sheetId="5" state="visible" r:id="rId7"/>
    <sheet name="Player_Economy" sheetId="6" state="visible" r:id="rId8"/>
    <sheet name="Game_Economy" sheetId="7" state="visible" r:id="rId9"/>
    <sheet name="Discovery_Costs" sheetId="8" state="visible" r:id="rId10"/>
    <sheet name="Exotic_Decay" sheetId="9" state="visible" r:id="rId11"/>
    <sheet name="Patents_Defense" sheetId="10" state="visible" r:id="rId12"/>
    <sheet name="Event_Flux" sheetId="11" state="visible" r:id="rId13"/>
    <sheet name="Tuning_Flags" sheetId="12" state="visible" r:id="rId14"/>
    <sheet name="Contract_Pool" sheetId="13" state="visible" r:id="rId15"/>
    <sheet name="Catalyst_Economy"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<sst xmlns="http://schemas.openxmlformats.org/spreadsheetml/2006/main" count="504" uniqueCount="431">
  <si>
    <t xml:space="preserve">PRECIPICE ECONOMY MODEL — companion to PRECIPICE_GAME_DESIGN_v4.6.md; per-compound content lives in PRECIPICE_COMPOUND_DATABASE.xlsx (58-point cross-verification passed at v4.4)</t>
  </si>
  <si>
    <t xml:space="preserve">PURPOSE: validates every §30-flagged parameter before implementation. Tuning_Flags is the conclusions sheet — read it first.</t>
  </si>
  <si>
    <t xml:space="preserve">COLOR CODE (industry standard): BLUE = tunable input. BLACK = formula. GREEN = cross-sheet link. Yellow fill = needs doc amendment. Red fill = change recommended.</t>
  </si>
  <si>
    <t xml:space="preserve">SHEETS:</t>
  </si>
  <si>
    <t xml:space="preserve">  Params — every assumption in one place. Change blue cells; the whole model recalculates.</t>
  </si>
  <si>
    <t xml:space="preserve">  Tiers — doc §5/§10/§15 constants + the monotonic per-slot-hour check (the rule that killed v3's rank math).</t>
  </si>
  <si>
    <t xml:space="preserve">  Rank_Model — the core: session-based 120-day progression. Era completions/day derive from a 3-login schedule with input-chain limits (a player CANNOT run 12-min timers offline; the model accounts for slot idle time, chain feeding, and market-assisted input buying from T4 era). N5 = sensitivity multiplier.</t>
  </si>
  <si>
    <t xml:space="preserve">  Prestige_Pacing — per-level run length vs the 120-day commitment. Contains the model's one RED finding.</t>
  </si>
  <si>
    <t xml:space="preserve">  Player_Economy — per-era daily Pellet flow for the dedicated archetype.</t>
  </si>
  <si>
    <t xml:space="preserve">  Game_Economy — faucet/sink at 1k/10k/100k DAU with the honest structural-surplus conclusion.</t>
  </si>
  <si>
    <t xml:space="preserve">  Discovery_Costs — brute-force mapping cost per bracket (answers the T3-cheapness question: validated fine).</t>
  </si>
  <si>
    <t xml:space="preserve">  Exotic_Decay — the 0.97 curve, floor verification against the doc's run-24 claim.</t>
  </si>
  <si>
    <t xml:space="preserve">  Patents_Defense — dividend ceilings and defense-window contestability.</t>
  </si>
  <si>
    <t xml:space="preserve">  Event_Flux — blueprint affordability by era; milestone target example.</t>
  </si>
  <si>
    <t xml:space="preserve">  Contract_Pool — the full authored daily-contract pool: 24 templates, filters, and the slot draw rule (doc §19, v4.5 E9).</t>
  </si>
  <si>
    <t xml:space="preserve">  Catalyst_Economy — free Catalyst earn vs price points; the premium currency modeled for the first time (doc §3/§25, v4.5 E10).</t>
  </si>
  <si>
    <t xml:space="preserve">  2. Prestige RESOLVED in doc v4.3: adopted P6 45M, P7 60M, P8+ x1.25 (P1-P8 all &lt;=120d; P9+ assigned to the telemetry patch lever). Superseded v4.2 costs retained for reference.</t>
  </si>
  <si>
    <t xml:space="preserve">KEY FINDINGS (full detail in Tuning_Flags):</t>
  </si>
  <si>
    <t xml:space="preserve">  5. Faucet/sink RESOLVED in doc v4.3: §30 restated — Prestige absorbs per-player surplus; bounds insulate prices; fee sinks pace behavior. No mechanic changes.</t>
  </si>
  <si>
    <t xml:space="preserve">  2. P7/P8 FAIL the 120-day commitment (~145d/~197d). Recommended: P7 60M, P8+ x1.25. P1-P6 pass (P6 marginal at 119d -&gt; 45M suggested).</t>
  </si>
  <si>
    <t xml:space="preserve">  3. Discovery fees validated at every bracket — including the intentionally cheap T3 bracket.</t>
  </si>
  <si>
    <t xml:space="preserve">  4. Exotic decay, defense windows, Flux prices, defense rank scaling: all PASS exactly as documented.</t>
  </si>
  <si>
    <t xml:space="preserve">  5. Faucet/sink: structural surplus is genre-inherent; Prestige is the real sink. §30 wording amendment noted for the DOCS remake.</t>
  </si>
  <si>
    <t xml:space="preserve">MODEL HONESTY: era completion rates are derived estimates (chain math + session schedule), not telemetry. The ±20% sensitivity band (Rank_Model N5) is the honest error bar. Every conclusion that survives both ends of the band is stated as PASS; P7's verdict flips only above 700k/day endgame income, which is why it is flagged rather than silently 'fixed'.</t>
  </si>
  <si>
    <t xml:space="preserve">PRECIPICE ECONOMY MODEL — CENTRAL PARAMETERS (all blue cells are tunable inputs)</t>
  </si>
  <si>
    <t xml:space="preserve">Source: PRECIPICE_GAME_DESIGN_v4.6.md. Change blue cells; every other sheet recalculates.</t>
  </si>
  <si>
    <t xml:space="preserve">Rank score per natural completion (doc §18)</t>
  </si>
  <si>
    <t xml:space="preserve">Other rank sources (doc §18)</t>
  </si>
  <si>
    <t xml:space="preserve">Economy constants</t>
  </si>
  <si>
    <t xml:space="preserve">Tier</t>
  </si>
  <si>
    <t xml:space="preserve">Rank/completion</t>
  </si>
  <si>
    <t xml:space="preserve">Slot-hours/run (offline pace)</t>
  </si>
  <si>
    <t xml:space="preserve">Pts per slot-hour (OFFLINE pace; doc §18 quotes online — see Tiers col M)</t>
  </si>
  <si>
    <t xml:space="preserve">Contracts/day (all 5, blended)</t>
  </si>
  <si>
    <t xml:space="preserve">Exotic decay per unit</t>
  </si>
  <si>
    <t xml:space="preserve">T1 (extraction)</t>
  </si>
  <si>
    <t xml:space="preserve">Market sales rank cap/day</t>
  </si>
  <si>
    <t xml:space="preserve">Exotic floor (frac of initial)</t>
  </si>
  <si>
    <t xml:space="preserve">T2</t>
  </si>
  <si>
    <t xml:space="preserve">Vault contribution cap/day</t>
  </si>
  <si>
    <t xml:space="preserve">Market sale fee</t>
  </si>
  <si>
    <t xml:space="preserve">T3</t>
  </si>
  <si>
    <t xml:space="preserve">Patent claim (once ever)</t>
  </si>
  <si>
    <t xml:space="preserve">Listing fee</t>
  </si>
  <si>
    <t xml:space="preserve">T4</t>
  </si>
  <si>
    <t xml:space="preserve">Defense T2</t>
  </si>
  <si>
    <t xml:space="preserve">Online speed bonus</t>
  </si>
  <si>
    <t xml:space="preserve">T5</t>
  </si>
  <si>
    <t xml:space="preserve">Defense T3</t>
  </si>
  <si>
    <t xml:space="preserve">Offline slowdown (x duration)</t>
  </si>
  <si>
    <t xml:space="preserve">T6</t>
  </si>
  <si>
    <t xml:space="preserve">Defense T4</t>
  </si>
  <si>
    <t xml:space="preserve">Offline income cap base (h)</t>
  </si>
  <si>
    <t xml:space="preserve">T7 Exotic</t>
  </si>
  <si>
    <t xml:space="preserve">Defense T5</t>
  </si>
  <si>
    <t xml:space="preserve">Sessions/day (dedicated)</t>
  </si>
  <si>
    <t xml:space="preserve">Defense T6/T7</t>
  </si>
  <si>
    <t xml:space="preserve">Active h/day (dedicated)</t>
  </si>
  <si>
    <t xml:space="preserve">Rank thresholds (doc §18)</t>
  </si>
  <si>
    <t xml:space="preserve">Title</t>
  </si>
  <si>
    <t xml:space="preserve">Score</t>
  </si>
  <si>
    <t xml:space="preserve">Doc day target</t>
  </si>
  <si>
    <t xml:space="preserve">Associate</t>
  </si>
  <si>
    <t xml:space="preserve">Fees &amp; failure economics (doc §11, §17)</t>
  </si>
  <si>
    <t xml:space="preserve">Population mix (Game_Economy)</t>
  </si>
  <si>
    <t xml:space="preserve">Researcher</t>
  </si>
  <si>
    <t xml:space="preserve">Bracket</t>
  </si>
  <si>
    <t xml:space="preserve">Fee</t>
  </si>
  <si>
    <t xml:space="preserve">Residue value back</t>
  </si>
  <si>
    <t xml:space="preserve">Net fail cost</t>
  </si>
  <si>
    <t xml:space="preserve">% casual</t>
  </si>
  <si>
    <t xml:space="preserve">Senior</t>
  </si>
  <si>
    <t xml:space="preserve">T1+T1 / T1+T2</t>
  </si>
  <si>
    <t xml:space="preserve">% dedicated</t>
  </si>
  <si>
    <t xml:space="preserve">Principal</t>
  </si>
  <si>
    <t xml:space="preserve">T2+T2 / T2+T3</t>
  </si>
  <si>
    <t xml:space="preserve">% endgame</t>
  </si>
  <si>
    <t xml:space="preserve">Director</t>
  </si>
  <si>
    <t xml:space="preserve">T3+T3 / T3+T4</t>
  </si>
  <si>
    <t xml:space="preserve">Casual faucet/day</t>
  </si>
  <si>
    <t xml:space="preserve">Chief Scientist</t>
  </si>
  <si>
    <t xml:space="preserve">T4+ (Lab)</t>
  </si>
  <si>
    <t xml:space="preserve">Dedicated faucet/day</t>
  </si>
  <si>
    <t xml:space="preserve">Joint declaration</t>
  </si>
  <si>
    <t xml:space="preserve">Endgame faucet/day</t>
  </si>
  <si>
    <t xml:space="preserve">Casual fee sink/day</t>
  </si>
  <si>
    <t xml:space="preserve">Prestige (doc §22 v4.3): cost = ADOPTED doc value; superseded v4.2 cost kept for reference</t>
  </si>
  <si>
    <t xml:space="preserve">Dedicated fee sink/day</t>
  </si>
  <si>
    <t xml:space="preserve">Level</t>
  </si>
  <si>
    <t xml:space="preserve">Doc cost (v4.3)</t>
  </si>
  <si>
    <t xml:space="preserve">Rank-gate days (model)</t>
  </si>
  <si>
    <t xml:space="preserve">Late-run income/day</t>
  </si>
  <si>
    <t xml:space="preserve">Superseded v4.2 cost</t>
  </si>
  <si>
    <t xml:space="preserve">Endgame fee sink/day</t>
  </si>
  <si>
    <t xml:space="preserve">P1</t>
  </si>
  <si>
    <t xml:space="preserve">Share of pop in prestige cycle</t>
  </si>
  <si>
    <t xml:space="preserve">P2</t>
  </si>
  <si>
    <t xml:space="preserve">Avg prestige cost (active cyclers)</t>
  </si>
  <si>
    <t xml:space="preserve">P3</t>
  </si>
  <si>
    <t xml:space="preserve">Avg days/prestige cycle</t>
  </si>
  <si>
    <t xml:space="preserve">P4</t>
  </si>
  <si>
    <t xml:space="preserve">Players per syndicate</t>
  </si>
  <si>
    <t xml:space="preserve">P5</t>
  </si>
  <si>
    <t xml:space="preserve">Syndicates buying upgrades /mo</t>
  </si>
  <si>
    <t xml:space="preserve">P6</t>
  </si>
  <si>
    <t xml:space="preserve">Avg vault upgrade cost</t>
  </si>
  <si>
    <t xml:space="preserve">P7</t>
  </si>
  <si>
    <t xml:space="preserve">P8</t>
  </si>
  <si>
    <t xml:space="preserve">P9</t>
  </si>
  <si>
    <t xml:space="preserve">P10</t>
  </si>
  <si>
    <t xml:space="preserve">TIER REFERENCE (doc §5, §10, §15) — values are doc constants (blue); derived columns are formulas</t>
  </si>
  <si>
    <t xml:space="preserve">Count</t>
  </si>
  <si>
    <t xml:space="preserve">Run time h (online)</t>
  </si>
  <si>
    <t xml:space="preserve">Run time h (offline)</t>
  </si>
  <si>
    <t xml:space="preserve">Base value min</t>
  </si>
  <si>
    <t xml:space="preserve">Base value max</t>
  </si>
  <si>
    <t xml:space="preserve">Mid value</t>
  </si>
  <si>
    <t xml:space="preserve">Passive P/min</t>
  </si>
  <si>
    <t xml:space="preserve">Rank/run</t>
  </si>
  <si>
    <t xml:space="preserve">Pts/slot-h (offline)</t>
  </si>
  <si>
    <t xml:space="preserve">Dividend/wk</t>
  </si>
  <si>
    <t xml:space="preserve">Claim bonus</t>
  </si>
  <si>
    <t xml:space="preserve">Pts/slot-h (ONLINE — ties to doc §18)</t>
  </si>
  <si>
    <t xml:space="preserve">T1</t>
  </si>
  <si>
    <t xml:space="preserve">T7 claim bonus shown at 3x mid initial value (3x525,000); actual = 3x that Exotic's initial value, up to 2.4M.</t>
  </si>
  <si>
    <t xml:space="preserve">T1 dividend/claim are 0: patents are T2+ only (doc §15, D1). Column J = offline pace (conservative); column M = online pace and ties to doc §18 exactly (15/21.3/28.3/37.5/47.9/62.5). T6/T7 exempt from online bonus so J=M there.</t>
  </si>
  <si>
    <t xml:space="preserve">RANK PROGRESSION MODEL — dedicated player, session-based, input-chain constrained</t>
  </si>
  <si>
    <t xml:space="preserve">Era completions/day are blue inputs (derived from 3-login schedule + chain math; see README). Daily rank = SUMPRODUCT vs Params rank values.</t>
  </si>
  <si>
    <t xml:space="preserve">Era</t>
  </si>
  <si>
    <t xml:space="preserve">Start day</t>
  </si>
  <si>
    <t xml:space="preserve">T2/d</t>
  </si>
  <si>
    <t xml:space="preserve">T3/d</t>
  </si>
  <si>
    <t xml:space="preserve">T4/d</t>
  </si>
  <si>
    <t xml:space="preserve">T5/d</t>
  </si>
  <si>
    <t xml:space="preserve">T6/d (joint)</t>
  </si>
  <si>
    <t xml:space="preserve">T7/d</t>
  </si>
  <si>
    <t xml:space="preserve">Contracts</t>
  </si>
  <si>
    <t xml:space="preserve">Market</t>
  </si>
  <si>
    <t xml:space="preserve">Defense</t>
  </si>
  <si>
    <t xml:space="preserve">Daily rank</t>
  </si>
  <si>
    <t xml:space="preserve">Sensitivity multiplier (1.0 = blended; 0.78 purist; 1.18 optimizer):</t>
  </si>
  <si>
    <t xml:space="preserve">T2 era</t>
  </si>
  <si>
    <t xml:space="preserve">T3 era</t>
  </si>
  <si>
    <t xml:space="preserve">T4 era</t>
  </si>
  <si>
    <t xml:space="preserve">T5/joint era</t>
  </si>
  <si>
    <t xml:space="preserve">T6/T7 era</t>
  </si>
  <si>
    <t xml:space="preserve">120-DAY GRID</t>
  </si>
  <si>
    <t xml:space="preserve">Day</t>
  </si>
  <si>
    <t xml:space="preserve">Cumulative</t>
  </si>
  <si>
    <t xml:space="preserve">THRESHOLD CROSSINGS</t>
  </si>
  <si>
    <t xml:space="preserve">Model day</t>
  </si>
  <si>
    <t xml:space="preserve">Doc target</t>
  </si>
  <si>
    <t xml:space="preserve">Delta</t>
  </si>
  <si>
    <t xml:space="preserve">Verdict</t>
  </si>
  <si>
    <t xml:space="preserve">Chief target band: day 85-90 (doc §18). PASS = model day within ±20% of doc target.</t>
  </si>
  <si>
    <t xml:space="preserve">PRESTIGE PACING — v4.3 ADOPTED costs (doc §22). Each run self-funds (Pellets reset to 500). Commitment: median dedicated run ≤ 120 days.</t>
  </si>
  <si>
    <t xml:space="preserve">Rank-gate days</t>
  </si>
  <si>
    <t xml:space="preserve">Income/day (late-run proxy)</t>
  </si>
  <si>
    <t xml:space="preserve">Pellet-earn days</t>
  </si>
  <si>
    <t xml:space="preserve">Binding gate</t>
  </si>
  <si>
    <t xml:space="preserve">Run length (days)</t>
  </si>
  <si>
    <t xml:space="preserve">≤120?</t>
  </si>
  <si>
    <t xml:space="preserve">Run @ v4.2 cost</t>
  </si>
  <si>
    <t xml:space="preserve">≤120 @ v4.2?</t>
  </si>
  <si>
    <t xml:space="preserve">RESOLVED IN DOC v4.3 (Section 31, D21): P6 45M, P7 60M, P8+ x1.25 adopted. P1-P8 now project &lt;=120d (P6 ~107, P7 ~109, P8 ~115).</t>
  </si>
  <si>
    <t xml:space="preserve">P9/P10 (~130/148d) intentionally ride the telemetry patch lever (doc §22) — endgame income is the least certain input and the P9+ population is tiny.</t>
  </si>
  <si>
    <t xml:space="preserve">Columns I-K show the superseded v4.2 costs for reference: P7 ~145d, P8 ~197d — the finding that drove the recalibration.</t>
  </si>
  <si>
    <t xml:space="preserve">RAMP BIAS: every run restarts at 500 Pellets and re-ramps through the eras, so flat late-run income overstates earning by ~10-15% for</t>
  </si>
  <si>
    <t xml:space="preserve">pellet-bound levels. This makes P6-P8 WORSE than shown (P6 ~119d shown is realistically ~130d) — it strengthens, not weakens, the recommendation.</t>
  </si>
  <si>
    <t xml:space="preserve">PER-PLAYER DAILY PELLET FLOW — by era (dedicated archetype)</t>
  </si>
  <si>
    <t xml:space="preserve">Passive income/day</t>
  </si>
  <si>
    <t xml:space="preserve">Compound sales/day</t>
  </si>
  <si>
    <t xml:space="preserve">Streak</t>
  </si>
  <si>
    <t xml:space="preserve">Dividends/day</t>
  </si>
  <si>
    <t xml:space="preserve">Total faucet/day</t>
  </si>
  <si>
    <t xml:space="preserve">Fees+spend/day</t>
  </si>
  <si>
    <t xml:space="preserve">Net savings/day</t>
  </si>
  <si>
    <t xml:space="preserve">T2 era (d1-3)</t>
  </si>
  <si>
    <t xml:space="preserve">T3 era (d4-10)</t>
  </si>
  <si>
    <t xml:space="preserve">T4 era (d11-30)</t>
  </si>
  <si>
    <t xml:space="preserve">T5/joint (d31-60)</t>
  </si>
  <si>
    <t xml:space="preserve">T6/T7 (d61-90)</t>
  </si>
  <si>
    <t xml:space="preserve">Cumulative earned by day 90 (era lengths 3/7/20/30/30):</t>
  </si>
  <si>
    <t xml:space="preserve">P1 cost (500k) vs cumulative: rank gate binds, not Pellets — consistent with doc §22.</t>
  </si>
  <si>
    <t xml:space="preserve">Passive income assumptions: slots running ~60-80% of counted hours (online + offline-capped 12h); sales = production not consumed by chains, sold at mid value (Instant Sell or market net of 5%).</t>
  </si>
  <si>
    <t xml:space="preserve">GAME-WIDE FAUCET/SINK — DAU scenarios (population mix and per-archetype rates from Params)</t>
  </si>
  <si>
    <t xml:space="preserve">DAU</t>
  </si>
  <si>
    <t xml:space="preserve">Faucets/day</t>
  </si>
  <si>
    <t xml:space="preserve">Fee sinks/day</t>
  </si>
  <si>
    <t xml:space="preserve">Prestige sink/day</t>
  </si>
  <si>
    <t xml:space="preserve">Vault sink/day</t>
  </si>
  <si>
    <t xml:space="preserve">Total sinks/day</t>
  </si>
  <si>
    <t xml:space="preserve">Net surplus/day</t>
  </si>
  <si>
    <t xml:space="preserve">Surplus/player/day</t>
  </si>
  <si>
    <t xml:space="preserve">HONEST CONCLUSION: the economy runs a structural surplus (idle-genre by design). Prestige is the only sink at the right order of magnitude;</t>
  </si>
  <si>
    <t xml:space="preserve">fees are rounding errors. This is functional because (1) market prices are hard-bounded at 80-500% of base, (2) Prestige absorbs the wealth of</t>
  </si>
  <si>
    <t xml:space="preserve">exactly the players who accumulate it, (3) per-player surplus funds Prestige cycling. Doc §30's 'sinks absorb faucets' wording should later be</t>
  </si>
  <si>
    <t xml:space="preserve">amended to: 'Prestige absorbs per-player surplus within tolerance.' Vault sink assumes 1 syndicate per 8 players, 3%/mo buying 11.5M avg upgrades.</t>
  </si>
  <si>
    <t xml:space="preserve">BRUTE-FORCE DISCOVERY COST — full map per result bracket (net of residue recovery; success fees included)</t>
  </si>
  <si>
    <t xml:space="preserve">Pair space</t>
  </si>
  <si>
    <t xml:space="preserve">Valid recipes</t>
  </si>
  <si>
    <t xml:space="preserve">Fee (success)</t>
  </si>
  <si>
    <t xml:space="preserve">Full-map cost</t>
  </si>
  <si>
    <t xml:space="preserve">Era faucet/day (links Player_Economy)</t>
  </si>
  <si>
    <t xml:space="preserve">Days of income</t>
  </si>
  <si>
    <t xml:space="preserve">T1/T2 results (T1+T1)</t>
  </si>
  <si>
    <t xml:space="preserve">T3 results (T1+T2)</t>
  </si>
  <si>
    <t xml:space="preserve">T3 results (T2+T2)</t>
  </si>
  <si>
    <t xml:space="preserve">T4 results (T2+T3)</t>
  </si>
  <si>
    <t xml:space="preserve">T4 results (T3+T3)</t>
  </si>
  <si>
    <t xml:space="preserve">T5 results (T3+T4)</t>
  </si>
  <si>
    <t xml:space="preserve">T6 joint declarations</t>
  </si>
  <si>
    <t xml:space="preserve">TOTAL (entire game):</t>
  </si>
  <si>
    <t xml:space="preserve">VERDICT: every bracket maps in ~0.3-2.5 days of its era's total faucet. Fees pace the first week only — discovery was never the gate (doc §11, §17). T3 cheapness validated as intended. Valid-recipe splits per bracket (col C) are assumptions; totals tie to doc §7 (~205 recipes).</t>
  </si>
  <si>
    <t xml:space="preserve">DISCLOSURE: the 'Valid recipes' column counts result MAPPINGS (matching doc §7 and the compound database's density). Valid PAIRS are slightly fewer where pairs are variable (e.g. 28 pairs carry the 30 T1+T2-&gt;T3 mappings); discovery pays one fee per PAIR, so full-map costs above are overstated by ~0.3%. Immaterial; per-pair data lives in PRECIPICE_COMPOUND_DATABASE.xlsx.</t>
  </si>
  <si>
    <t xml:space="preserve">EXOTIC VALUE DECAY — value = initial x MAX(decay^units, floor) (doc §23)</t>
  </si>
  <si>
    <t xml:space="preserve">Initial value (mid):</t>
  </si>
  <si>
    <t xml:space="preserve">Run #</t>
  </si>
  <si>
    <t xml:space="preserve">Units created (cum)</t>
  </si>
  <si>
    <t xml:space="preserve">Value multiplier</t>
  </si>
  <si>
    <t xml:space="preserve">Current value</t>
  </si>
  <si>
    <t xml:space="preserve">Revenue this run (2 units)</t>
  </si>
  <si>
    <t xml:space="preserve">Cumulative revenue</t>
  </si>
  <si>
    <t xml:space="preserve">Floor reached at unit:</t>
  </si>
  <si>
    <t xml:space="preserve">Doc claim: ~unit 46-48 / run 24. Verify left.</t>
  </si>
  <si>
    <t xml:space="preserve">Claim bonus (3x initial) and 200k/wk dividend are decay-immune (doc §23).</t>
  </si>
  <si>
    <t xml:space="preserve">Revenue prices both units at the post-run global count (doc §23: value = initial x decay^(total units ever created)).</t>
  </si>
  <si>
    <t xml:space="preserve">PATENT DIVIDENDS &amp; DEFENSE WINDOW MATH (doc §15)</t>
  </si>
  <si>
    <t xml:space="preserve">Patent count</t>
  </si>
  <si>
    <t xml:space="preserve">Game-wide max/wk</t>
  </si>
  <si>
    <t xml:space="preserve">Defense window (h)</t>
  </si>
  <si>
    <t xml:space="preserve">Run time offline (h)</t>
  </si>
  <si>
    <t xml:space="preserve">Completions/slot/window</t>
  </si>
  <si>
    <t xml:space="preserve">Completions/slot ONLINE max (ties doc §15 table)</t>
  </si>
  <si>
    <t xml:space="preserve">Theoretical max dividends/wk — ALL patents T2-T7, one holder:</t>
  </si>
  <si>
    <t xml:space="preserve">T6+T7 only (doc §15 quotes 25.5M):</t>
  </si>
  <si>
    <t xml:space="preserve">Base game T2-T6 only (doc §30 quotes ~3.25M):</t>
  </si>
  <si>
    <t xml:space="preserve">VERDICT: every tier permits &gt;=7 natural completions/slot per window — every defense is contestable. Column G = offline pace (realistic floor); column H = online max and ties to doc §15 exactly (360/96/32/15/7). T6/T7 with 2-3 joint slots: 14-21.</t>
  </si>
  <si>
    <t xml:space="preserve">CASCADE PROTOCOL FLUX MODEL (doc §29) — Flux/run = rank value; extraction 1 Flux capped 50/day (post-multiplier)</t>
  </si>
  <si>
    <t xml:space="preserve">Player era</t>
  </si>
  <si>
    <t xml:space="preserve">Flux/day (= PRODUCTION rank only — contracts/market/defense earn no Flux)</t>
  </si>
  <si>
    <t xml:space="preserve">Blueprint</t>
  </si>
  <si>
    <t xml:space="preserve">Cost</t>
  </si>
  <si>
    <t xml:space="preserve">Days to afford</t>
  </si>
  <si>
    <t xml:space="preserve">Days w/ event pass (2x)</t>
  </si>
  <si>
    <t xml:space="preserve">New player (extraction cap)</t>
  </si>
  <si>
    <t xml:space="preserve">Cascade Trace</t>
  </si>
  <si>
    <t xml:space="preserve">Alpha/Beta</t>
  </si>
  <si>
    <t xml:space="preserve">Gamma/Delta</t>
  </si>
  <si>
    <t xml:space="preserve">T5 era</t>
  </si>
  <si>
    <t xml:space="preserve">Epsilon/Omega</t>
  </si>
  <si>
    <t xml:space="preserve">VERDICT: Trace day 1 for brand-new players (doc claim holds); top blueprints ~1.3-4 days at era pace inside a 21-day event. Pass halves it. PASS.</t>
  </si>
  <si>
    <t xml:space="preserve">Milestone target example:</t>
  </si>
  <si>
    <t xml:space="preserve">Avg Flux/day/player</t>
  </si>
  <si>
    <t xml:space="preserve">Event days</t>
  </si>
  <si>
    <t xml:space="preserve">Calibration</t>
  </si>
  <si>
    <t xml:space="preserve">TUNING FLAGS — every §30-flagged parameter, validated verdict</t>
  </si>
  <si>
    <t xml:space="preserve">Parameter</t>
  </si>
  <si>
    <t xml:space="preserve">Doc value</t>
  </si>
  <si>
    <t xml:space="preserve">Finding / recommendation</t>
  </si>
  <si>
    <t xml:space="preserve">Rank production values + thresholds</t>
  </si>
  <si>
    <t xml:space="preserve">0/3/16/85/300/1150/1500; Chief 250k</t>
  </si>
  <si>
    <t xml:space="preserve">PASS</t>
  </si>
  <si>
    <t xml:space="preserve">Chief lands day ~84 blended (75 optimizer / 101 purist) vs 85-90 target. All intermediate thresholds within ±3 days of doc labels. Monotonic per-slot-hour confirmed (Tiers!A14). No change.</t>
  </si>
  <si>
    <t xml:space="preserve">Formula Lab fees vs zero-cost failure</t>
  </si>
  <si>
    <t xml:space="preserve">25/75/200; net 10/45/15/110</t>
  </si>
  <si>
    <t xml:space="preserve">Full-map cost per bracket = 0.3-2.5 days of era income. Discovery paces week 1 only, which is the design intent. T3 bracket cheapness intentional and harmless.</t>
  </si>
  <si>
    <t xml:space="preserve">Joint analysis declaration fee</t>
  </si>
  <si>
    <t xml:space="preserve">500 (300 P1+)</t>
  </si>
  <si>
    <t xml:space="preserve">Full 710-pair map ~292k net — 2.3 days of T5-era income. Paid probing as intended.</t>
  </si>
  <si>
    <t xml:space="preserve">Exotic decay constant + floor</t>
  </si>
  <si>
    <t xml:space="preserve">0.97 / 25%</t>
  </si>
  <si>
    <t xml:space="preserve">Floor at unit 46 (run 24) — matches doc exactly. Floored values 62.5k-200k as documented.</t>
  </si>
  <si>
    <t xml:space="preserve">Defense windows</t>
  </si>
  <si>
    <t xml:space="preserve">72h/96h/120h/7d</t>
  </si>
  <si>
    <t xml:space="preserve">7 (T6/T7, per joint slot) to 288 offline / 360 online completions per slot per window — sheet now shows both paces; online column ties doc §15 exactly. Every tier contestable.</t>
  </si>
  <si>
    <t xml:space="preserve">Blueprint Flux prices + extraction cap</t>
  </si>
  <si>
    <t xml:space="preserve">50/300/1200/4000; cap 50/day</t>
  </si>
  <si>
    <t xml:space="preserve">Trace day 1 for new players; Epsilon ~1.3d at T5 pace. Cap post-multiplier holds.</t>
  </si>
  <si>
    <t xml:space="preserve">Tier-scaled defense rank</t>
  </si>
  <si>
    <t xml:space="preserve">25/50/100/150/250</t>
  </si>
  <si>
    <t xml:space="preserve">T2 collusion ping-pong yields 25/defense vs 7-day immunity gate — worthless. T6 250 dwarfed by 1,150 production. No change.</t>
  </si>
  <si>
    <t xml:space="preserve">Joint passive income (both members full rate)</t>
  </si>
  <si>
    <t xml:space="preserve">43-60 P/min each</t>
  </si>
  <si>
    <t xml:space="preserve">T6 run pays ~62k passive per member per run — large but endgame-appropriate; dividends dominate anyway.</t>
  </si>
  <si>
    <t xml:space="preserve">Prestige costs P1-P6</t>
  </si>
  <si>
    <t xml:space="preserve">500k-50M</t>
  </si>
  <si>
    <t xml:space="preserve">RESOLVED v4.3</t>
  </si>
  <si>
    <t xml:space="preserve">P6 cut 50M-&gt;45M in doc v4.3 (D21); P1-P5 unchanged. All P1-P6 project &lt;=110d with ramp bias acknowledged.</t>
  </si>
  <si>
    <t xml:space="preserve">Prestige costs P7+</t>
  </si>
  <si>
    <t xml:space="preserve">80M, x1.6</t>
  </si>
  <si>
    <t xml:space="preserve">ADOPTED in doc v4.3 (Section 31, D21): P7 60M, P8+ x1.25. P7 ~109d, P8 ~115d — inside the commitment. P9+ (~130/148d) explicitly assigned to the §22 telemetry patch lever. Superseded v4.2 costs kept in Params col E / Prestige_Pacing cols I-K for reference.</t>
  </si>
  <si>
    <t xml:space="preserve">Faucet/sink balance (§30 wording)</t>
  </si>
  <si>
    <t xml:space="preserve">'sinks absorb faucets'</t>
  </si>
  <si>
    <t xml:space="preserve">§30 restated in doc v4.3 (D22): Prestige absorbs per-player surplus within committed pacing; Market bounds insulate prices; vault upgrades absorb Syndicate surplus; fee sinks pace behavior only. Structural surplus ~5-8k/player/day is genre-correct and now honestly framed.</t>
  </si>
  <si>
    <t xml:space="preserve">Rank timeline labels (§18 table)</t>
  </si>
  <si>
    <t xml:space="preserve">d2/7/17/30/58/85-90</t>
  </si>
  <si>
    <t xml:space="preserve">Model: d3/7/15/32/53/84. All within tolerance; labels are 'approximate' in doc. Optional cosmetic sync later.</t>
  </si>
  <si>
    <t xml:space="preserve">Catalyst economy (free-earn vs price points)</t>
  </si>
  <si>
    <t xml:space="preserve">streak 1/wk steady; skip 30; expansion 200</t>
  </si>
  <si>
    <t xml:space="preserve">FLAGGED (v4.5)</t>
  </si>
  <si>
    <t xml:space="preserve">Modeled for the first time in Catalyst_Economy (E10). Non-payer steady ~8–9/mo incl. event milestones — deliberately scarce. Watch non-payer engagement with Catalyst-priced features; first lever = streak steady rate (1→2/wk), never price cuts.</t>
  </si>
  <si>
    <t xml:space="preserve">Contract pool draw weights &amp; rewards</t>
  </si>
  <si>
    <t xml:space="preserve">24 templates; 3 std (E60/M40) + 2 bonus (M30/H70)</t>
  </si>
  <si>
    <t xml:space="preserve">AUTHORED (v4.5)</t>
  </si>
  <si>
    <t xml:space="preserve">Contract_Pool sheet (E9). All rewards inside doc §19 bands; expected all-five daily rank ≈390, typical band matches doc’s “roughly 250–475”. Weights tunable.</t>
  </si>
  <si>
    <t xml:space="preserve">CONTRACT POOL — the full authored daily-contract pool (doc §19, v4.5 ruling E9). 24 templates; rewards inside doc §19 bands (Easy 200–500/25, Medium 500–1,500/75, Hard 1,500–3,000/150).</t>
  </si>
  <si>
    <t xml:space="preserve">Skipped runs count toward all contracts (doc §14/§19). “Analyses” = personal Formula Lab analyses only — never joint declarations (doc D18). Filters use the “possible in principle” standard (doc D9/D20), evaluated at generation.</t>
  </si>
  <si>
    <t xml:space="preserve">ID</t>
  </si>
  <si>
    <t xml:space="preserve">Contract (target shown in name)</t>
  </si>
  <si>
    <t xml:space="preserve">Difficulty</t>
  </si>
  <si>
    <t xml:space="preserve">Target</t>
  </si>
  <si>
    <t xml:space="preserve">Pellet reward</t>
  </si>
  <si>
    <t xml:space="preserve">Rank score</t>
  </si>
  <si>
    <t xml:space="preserve">State filter at generation</t>
  </si>
  <si>
    <t xml:space="preserve">Notes</t>
  </si>
  <si>
    <t xml:space="preserve">CE1</t>
  </si>
  <si>
    <t xml:space="preserve">Synthesize 5 Tier 2 compounds</t>
  </si>
  <si>
    <t xml:space="preserve">Easy</t>
  </si>
  <si>
    <t xml:space="preserve">≥1 discovered recipe producing T2</t>
  </si>
  <si>
    <t xml:space="preserve">Skipped runs count</t>
  </si>
  <si>
    <t xml:space="preserve">CE2</t>
  </si>
  <si>
    <t xml:space="preserve">Complete 2 Formula Lab analyses</t>
  </si>
  <si>
    <t xml:space="preserve">None (Lab always available)</t>
  </si>
  <si>
    <t xml:space="preserve">Personal Lab analyses only (D18)</t>
  </si>
  <si>
    <t xml:space="preserve">CE3</t>
  </si>
  <si>
    <t xml:space="preserve">Instant-sell a compound</t>
  </si>
  <si>
    <t xml:space="preserve">None</t>
  </si>
  <si>
    <t xml:space="preserve">CE4</t>
  </si>
  <si>
    <t xml:space="preserve">Synthesize 3 Tier 2 compounds</t>
  </si>
  <si>
    <t xml:space="preserve">CE5</t>
  </si>
  <si>
    <t xml:space="preserve">Complete 4 Formula Lab analyses</t>
  </si>
  <si>
    <t xml:space="preserve">CE6</t>
  </si>
  <si>
    <t xml:space="preserve">Instant-sell 3 compounds</t>
  </si>
  <si>
    <t xml:space="preserve">CE7</t>
  </si>
  <si>
    <t xml:space="preserve">List a compound on the Market</t>
  </si>
  <si>
    <t xml:space="preserve">Listing fee applies normally</t>
  </si>
  <si>
    <t xml:space="preserve">CE8</t>
  </si>
  <si>
    <t xml:space="preserve">Sell 3 Inert Residue</t>
  </si>
  <si>
    <t xml:space="preserve">Residue obtainable from any failed analysis</t>
  </si>
  <si>
    <t xml:space="preserve">CM1</t>
  </si>
  <si>
    <t xml:space="preserve">List 3 compounds on the Market</t>
  </si>
  <si>
    <t xml:space="preserve">Medium</t>
  </si>
  <si>
    <t xml:space="preserve">CM2</t>
  </si>
  <si>
    <t xml:space="preserve">Contribute 500 Pellets to your Syndicate vault</t>
  </si>
  <si>
    <t xml:space="preserve">Syndicate member</t>
  </si>
  <si>
    <t xml:space="preserve">Counts toward the 500/day contribution rank cap normally</t>
  </si>
  <si>
    <t xml:space="preserve">CM3</t>
  </si>
  <si>
    <t xml:space="preserve">Synthesize 5 Tier 3 compounds</t>
  </si>
  <si>
    <t xml:space="preserve">≥1 discovered recipe producing T3</t>
  </si>
  <si>
    <t xml:space="preserve">CM4</t>
  </si>
  <si>
    <t xml:space="preserve">Buy a compound from the Market</t>
  </si>
  <si>
    <t xml:space="preserve">CM5</t>
  </si>
  <si>
    <t xml:space="preserve">Complete 6 Formula Lab analyses</t>
  </si>
  <si>
    <t xml:space="preserve">CM6</t>
  </si>
  <si>
    <t xml:space="preserve">Synthesize 8 Tier 2 compounds</t>
  </si>
  <si>
    <t xml:space="preserve">CM7</t>
  </si>
  <si>
    <t xml:space="preserve">Discover a new recipe</t>
  </si>
  <si>
    <t xml:space="preserve">≥1 undiscovered pair remaining</t>
  </si>
  <si>
    <t xml:space="preserve">Always true in practice outside a fully mapped account</t>
  </si>
  <si>
    <t xml:space="preserve">CM8</t>
  </si>
  <si>
    <t xml:space="preserve">Contribute 1,500 Pellets to your Syndicate vault</t>
  </si>
  <si>
    <t xml:space="preserve">CH1</t>
  </si>
  <si>
    <t xml:space="preserve">Complete a Joint Synthesis</t>
  </si>
  <si>
    <t xml:space="preserve">Hard</t>
  </si>
  <si>
    <t xml:space="preserve">Syndicate member + T4 qualification</t>
  </si>
  <si>
    <t xml:space="preserve">Either contributor role qualifies; Accelerated runs count (contracts measure activity)</t>
  </si>
  <si>
    <t xml:space="preserve">CH2</t>
  </si>
  <si>
    <t xml:space="preserve">Take a patent or successfully defend one of yours</t>
  </si>
  <si>
    <t xml:space="preserve">≥1 discovered T2+ recipe (D20)</t>
  </si>
  <si>
    <t xml:space="preserve">“Possible in principle” standard; quiet days unfinished is intended</t>
  </si>
  <si>
    <t xml:space="preserve">CH3</t>
  </si>
  <si>
    <t xml:space="preserve">Synthesize 3 Tier 4 compounds</t>
  </si>
  <si>
    <t xml:space="preserve">≥1 discovered recipe producing T4</t>
  </si>
  <si>
    <t xml:space="preserve">CH4</t>
  </si>
  <si>
    <t xml:space="preserve">Synthesize 2 Tier 5 compounds</t>
  </si>
  <si>
    <t xml:space="preserve">≥1 discovered recipe producing T5 + Syndicate member</t>
  </si>
  <si>
    <t xml:space="preserve">T5 requires membership (doc §7)</t>
  </si>
  <si>
    <t xml:space="preserve">CH5</t>
  </si>
  <si>
    <t xml:space="preserve">Earn 5,000 Pellets from Market sales</t>
  </si>
  <si>
    <t xml:space="preserve">Completed sales only; Instant Sell excluded</t>
  </si>
  <si>
    <t xml:space="preserve">CH6</t>
  </si>
  <si>
    <t xml:space="preserve">Synthesize 10 Tier 3 compounds</t>
  </si>
  <si>
    <t xml:space="preserve">CH7</t>
  </si>
  <si>
    <t xml:space="preserve">Complete 10 Formula Lab analyses</t>
  </si>
  <si>
    <t xml:space="preserve">CH8</t>
  </si>
  <si>
    <t xml:space="preserve">Complete a Stabilized Synthesis</t>
  </si>
  <si>
    <t xml:space="preserve">≥1 discovered variant of a variable pair</t>
  </si>
  <si>
    <t xml:space="preserve">Pulls players into the weekly-seed system; Stabilized counts as natural (doc §14)</t>
  </si>
  <si>
    <t xml:space="preserve">DRAW RULE (v4.5 E9): 5 contracts/day per player — 3 standard slots drawn from the Easy (60%) / Medium (40%) pools, 2 bonus slots drawn from the Medium (30%) / Hard (70%) pools. No template repeats within a day. Templates whose filter fails at generation are excluded from that day’s draw.</t>
  </si>
  <si>
    <t xml:space="preserve">All-five daily rank bonus by mix: min =</t>
  </si>
  <si>
    <t xml:space="preserve">(3 Easy + 2 Medium)</t>
  </si>
  <si>
    <t xml:space="preserve">max =</t>
  </si>
  <si>
    <t xml:space="preserve">(3 Medium + 2 Hard)</t>
  </si>
  <si>
    <t xml:space="preserve">expected =</t>
  </si>
  <si>
    <t xml:space="preserve">Typical band straddles doc §19’s “roughly 250–475”; extremes 225/525 are rare mixes.</t>
  </si>
  <si>
    <t xml:space="preserve">CATALYST ECONOMY — first model of the premium currency (doc §3, §25; v4.5 ruling E10). Blue = doc constants (tunable).</t>
  </si>
  <si>
    <t xml:space="preserve">FREE EARN SOURCES (doc §3)</t>
  </si>
  <si>
    <t xml:space="preserve">Source</t>
  </si>
  <si>
    <t xml:space="preserve">Catalysts</t>
  </si>
  <si>
    <t xml:space="preserve">Cadence</t>
  </si>
  <si>
    <t xml:space="preserve">Per year (steady state)</t>
  </si>
  <si>
    <t xml:space="preserve">Login streak day 7 / 14 / 28 (first month, one-time per streak)</t>
  </si>
  <si>
    <t xml:space="preserve">once per unbroken first month</t>
  </si>
  <si>
    <t xml:space="preserve">—</t>
  </si>
  <si>
    <t xml:space="preserve">Login streak day 35+ steady state</t>
  </si>
  <si>
    <t xml:space="preserve">per 7 days</t>
  </si>
  <si>
    <t xml:space="preserve">Seasonal event shared milestone</t>
  </si>
  <si>
    <t xml:space="preserve">per event (assume 2 events/yr)</t>
  </si>
  <si>
    <t xml:space="preserve">World-first patent claim</t>
  </si>
  <si>
    <t xml:space="preserve">once per compound ever — 240 base+Exotic firsts game-wide, finite</t>
  </si>
  <si>
    <t xml:space="preserve">not a steady-state source</t>
  </si>
  <si>
    <t xml:space="preserve">TOTAL steady state, streak-keeping non-payer, zero world firsts</t>
  </si>
  <si>
    <t xml:space="preserve">≈ per month</t>
  </si>
  <si>
    <t xml:space="preserve">PRICES (doc §3, §17, §24, §25)</t>
  </si>
  <si>
    <t xml:space="preserve">Item</t>
  </si>
  <si>
    <t xml:space="preserve">Catalyst cost</t>
  </si>
  <si>
    <t xml:space="preserve">Months of free earn to afford</t>
  </si>
  <si>
    <t xml:space="preserve">Cash-equivalent R$ (at best pack rate)</t>
  </si>
  <si>
    <t xml:space="preserve">Timer skip (one slot)</t>
  </si>
  <si>
    <t xml:space="preserve">Joint Synthesis −25% acceleration</t>
  </si>
  <si>
    <t xml:space="preserve">Premium cosmetics (range low)</t>
  </si>
  <si>
    <t xml:space="preserve">Premium cosmetics (range high)</t>
  </si>
  <si>
    <t xml:space="preserve">Syndicate member-cap expansion (Founder, one-time)</t>
  </si>
  <si>
    <t xml:space="preserve">ROBUX CONVERSION (doc §25)</t>
  </si>
  <si>
    <t xml:space="preserve">CatalystS: 200 R$ → 50 Cat; R$/Cat =</t>
  </si>
  <si>
    <t xml:space="preserve">CatalystL: 500 R$ → 150 Cat; R$/Cat (best rate) =</t>
  </si>
  <si>
    <t xml:space="preserve">TimerSkip direct: 75 R$ vs Catalyst skip ≈</t>
  </si>
  <si>
    <t xml:space="preserve">R$ equivalent — direct skip is always the efficient cash path; Catalysts exist for the Catalyst-exclusive items (acceleration, expansion, cosmetics)</t>
  </si>
  <si>
    <t xml:space="preserve">VERDICT</t>
  </si>
  <si>
    <t xml:space="preserve">Free Catalysts are deliberately scarce (~8–9/month steady state incl. events): they fund roughly one skip or acceleration per month, or save toward cosmetics/expansion over months. This is correct for a premium currency whose only competitive-adjacent use (skips) is competitively worthless by the Natural Completion Rule. STANDING FLAG (§30): if telemetry shows near-zero non-payer engagement with Catalyst-priced features, the first lever is the streak steady-state rate (1 → 2 per week), never price cuts — cutting prices devalues purchased Catalysts.</t>
  </si>
</sst>
</file>

<file path=xl/styles.xml><?xml version="1.0" encoding="utf-8"?>
<styleSheet xmlns="http://schemas.openxmlformats.org/spreadsheetml/2006/main">
  <numFmts count="7">
    <numFmt numFmtId="164" formatCode="General"/>
    <numFmt numFmtId="165" formatCode="#,##0"/>
    <numFmt numFmtId="166" formatCode="0.00"/>
    <numFmt numFmtId="167" formatCode="#,##0.0"/>
    <numFmt numFmtId="168" formatCode="0%"/>
    <numFmt numFmtId="169" formatCode="0.0"/>
    <numFmt numFmtId="170" formatCode="0.000"/>
  </numFmts>
  <fonts count="13">
    <font>
      <sz val="11"/>
      <color theme="1"/>
      <name val="Calibri"/>
      <family val="2"/>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1"/>
      <name val="Arial"/>
      <family val="0"/>
      <charset val="1"/>
    </font>
    <font>
      <sz val="11"/>
      <color rgb="FF008000"/>
      <name val="Arial"/>
      <family val="0"/>
      <charset val="1"/>
    </font>
    <font>
      <b val="true"/>
      <sz val="12"/>
      <name val="Arial"/>
      <family val="0"/>
      <charset val="1"/>
    </font>
    <font>
      <i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C6EFCE"/>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0"/>
  </cols>
  <sheetData>
    <row r="1" customFormat="false" ht="15" hidden="false" customHeight="true" outlineLevel="0" collapsed="false">
      <c r="A1" s="2" t="s">
        <v>0</v>
      </c>
    </row>
    <row r="2" customFormat="false" ht="15" hidden="false" customHeight="true" outlineLevel="0" collapsed="false">
      <c r="A2" s="3"/>
    </row>
    <row r="3" customFormat="false" ht="15" hidden="false" customHeight="true" outlineLevel="0" collapsed="false">
      <c r="A3" s="3" t="s">
        <v>1</v>
      </c>
    </row>
    <row r="4" customFormat="false" ht="15" hidden="false" customHeight="true" outlineLevel="0" collapsed="false">
      <c r="A4" s="3"/>
    </row>
    <row r="5" customFormat="false" ht="15" hidden="false" customHeight="true" outlineLevel="0" collapsed="false">
      <c r="A5" s="3" t="s">
        <v>2</v>
      </c>
    </row>
    <row r="6" customFormat="false" ht="15" hidden="false" customHeight="true" outlineLevel="0" collapsed="false">
      <c r="A6" s="3"/>
    </row>
    <row r="7" customFormat="false" ht="15" hidden="false" customHeight="true" outlineLevel="0" collapsed="false">
      <c r="A7" s="2" t="s">
        <v>3</v>
      </c>
    </row>
    <row r="8" customFormat="false" ht="15" hidden="false" customHeight="true" outlineLevel="0" collapsed="false">
      <c r="A8" s="3" t="s">
        <v>4</v>
      </c>
    </row>
    <row r="9" customFormat="false" ht="15" hidden="false" customHeight="true" outlineLevel="0" collapsed="false">
      <c r="A9" s="3" t="s">
        <v>5</v>
      </c>
    </row>
    <row r="10" customFormat="false" ht="15" hidden="false" customHeight="true" outlineLevel="0" collapsed="false">
      <c r="A10" s="3" t="s">
        <v>6</v>
      </c>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4" t="s">
        <v>14</v>
      </c>
    </row>
    <row r="19" customFormat="false" ht="15" hidden="false" customHeight="true" outlineLevel="0" collapsed="false">
      <c r="A19" s="4" t="s">
        <v>15</v>
      </c>
    </row>
    <row r="20" customFormat="false" ht="15" hidden="false" customHeight="true" outlineLevel="0" collapsed="false">
      <c r="A20" s="3" t="s">
        <v>16</v>
      </c>
    </row>
    <row r="21" customFormat="false" ht="15" hidden="false" customHeight="true" outlineLevel="0" collapsed="false">
      <c r="A21" s="3"/>
    </row>
    <row r="22" customFormat="false" ht="15" hidden="false" customHeight="true" outlineLevel="0" collapsed="false">
      <c r="A22" s="2" t="s">
        <v>17</v>
      </c>
    </row>
    <row r="23" customFormat="false" ht="15" hidden="false" customHeight="true" outlineLevel="0" collapsed="false">
      <c r="A23" s="3" t="s">
        <v>18</v>
      </c>
    </row>
    <row r="24" customFormat="false" ht="15" hidden="false" customHeight="true" outlineLevel="0" collapsed="false">
      <c r="A24" s="3" t="s">
        <v>19</v>
      </c>
    </row>
    <row r="25" customFormat="false" ht="15" hidden="false" customHeight="true" outlineLevel="0" collapsed="false">
      <c r="A25" s="3" t="s">
        <v>20</v>
      </c>
    </row>
    <row r="26" customFormat="false" ht="15" hidden="false" customHeight="true" outlineLevel="0" collapsed="false">
      <c r="A26" s="3" t="s">
        <v>21</v>
      </c>
    </row>
    <row r="27" customFormat="false" ht="15" hidden="false" customHeight="true" outlineLevel="0" collapsed="false">
      <c r="A27" s="3" t="s">
        <v>22</v>
      </c>
    </row>
    <row r="28" customFormat="false" ht="15" hidden="false" customHeight="true" outlineLevel="0" collapsed="false">
      <c r="A28" s="3"/>
    </row>
    <row r="29" customFormat="false" ht="15" hidden="false" customHeight="true" outlineLevel="0" collapsed="false">
      <c r="A29"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24"/>
    <col collapsed="false" customWidth="true" hidden="false" outlineLevel="0" max="5" min="4" style="1" width="18"/>
    <col collapsed="false" customWidth="true" hidden="false" outlineLevel="0" max="6" min="6" style="1" width="30"/>
    <col collapsed="false" customWidth="true" hidden="false" outlineLevel="0" max="7" min="7" style="1" width="12"/>
    <col collapsed="false" customWidth="true" hidden="false" outlineLevel="0" max="8" min="8" style="1" width="16"/>
    <col collapsed="false" customWidth="true" hidden="false" outlineLevel="0" max="9" min="9" style="1" width="13"/>
    <col collapsed="false" customWidth="true" hidden="false" outlineLevel="0" max="11" min="11" style="1" width="30"/>
    <col collapsed="false" customWidth="true" hidden="false" outlineLevel="0" max="12" min="12" style="1" width="14"/>
  </cols>
  <sheetData>
    <row r="1" customFormat="false" ht="15" hidden="false" customHeight="true" outlineLevel="0" collapsed="false">
      <c r="A1" s="2" t="s">
        <v>24</v>
      </c>
    </row>
    <row r="2" customFormat="false" ht="15" hidden="false" customHeight="true" outlineLevel="0" collapsed="false">
      <c r="A2" s="3" t="s">
        <v>25</v>
      </c>
    </row>
    <row r="4" customFormat="false" ht="15" hidden="false" customHeight="true" outlineLevel="0" collapsed="false">
      <c r="A4" s="2" t="s">
        <v>26</v>
      </c>
      <c r="F4" s="2" t="s">
        <v>27</v>
      </c>
      <c r="K4" s="2" t="s">
        <v>28</v>
      </c>
    </row>
    <row r="5" customFormat="false" ht="26.25" hidden="false" customHeight="true" outlineLevel="0" collapsed="false">
      <c r="A5" s="5" t="s">
        <v>29</v>
      </c>
      <c r="B5" s="5" t="s">
        <v>30</v>
      </c>
      <c r="C5" s="5" t="s">
        <v>31</v>
      </c>
      <c r="D5" s="5" t="s">
        <v>32</v>
      </c>
      <c r="F5" s="3" t="s">
        <v>33</v>
      </c>
      <c r="G5" s="6" t="n">
        <v>350</v>
      </c>
      <c r="K5" s="3" t="s">
        <v>34</v>
      </c>
      <c r="L5" s="7" t="n">
        <v>0.97</v>
      </c>
    </row>
    <row r="6" customFormat="false" ht="15" hidden="false" customHeight="true" outlineLevel="0" collapsed="false">
      <c r="A6" s="3" t="s">
        <v>35</v>
      </c>
      <c r="B6" s="6" t="n">
        <v>0</v>
      </c>
      <c r="C6" s="8" t="n">
        <v>0.0416666666666667</v>
      </c>
      <c r="D6" s="9" t="n">
        <f aca="false">IF(C6=0,0,B6/C6)</f>
        <v>0</v>
      </c>
      <c r="F6" s="3" t="s">
        <v>36</v>
      </c>
      <c r="G6" s="6" t="n">
        <v>1000</v>
      </c>
      <c r="K6" s="3" t="s">
        <v>37</v>
      </c>
      <c r="L6" s="7" t="n">
        <v>0.25</v>
      </c>
    </row>
    <row r="7" customFormat="false" ht="15" hidden="false" customHeight="true" outlineLevel="0" collapsed="false">
      <c r="A7" s="3" t="s">
        <v>38</v>
      </c>
      <c r="B7" s="6" t="n">
        <v>3</v>
      </c>
      <c r="C7" s="8" t="n">
        <v>0.25</v>
      </c>
      <c r="D7" s="9" t="n">
        <f aca="false">IF(C7=0,0,B7/C7)</f>
        <v>12</v>
      </c>
      <c r="F7" s="3" t="s">
        <v>39</v>
      </c>
      <c r="G7" s="6" t="n">
        <v>500</v>
      </c>
      <c r="K7" s="3" t="s">
        <v>40</v>
      </c>
      <c r="L7" s="7" t="n">
        <v>0.05</v>
      </c>
    </row>
    <row r="8" customFormat="false" ht="15" hidden="false" customHeight="true" outlineLevel="0" collapsed="false">
      <c r="A8" s="3" t="s">
        <v>41</v>
      </c>
      <c r="B8" s="6" t="n">
        <v>16</v>
      </c>
      <c r="C8" s="8" t="n">
        <v>0.9375</v>
      </c>
      <c r="D8" s="9" t="n">
        <f aca="false">IF(C8=0,0,B8/C8)</f>
        <v>17.0666666666667</v>
      </c>
      <c r="F8" s="3" t="s">
        <v>42</v>
      </c>
      <c r="G8" s="6" t="n">
        <v>500</v>
      </c>
      <c r="K8" s="3" t="s">
        <v>43</v>
      </c>
      <c r="L8" s="7" t="n">
        <v>0.01</v>
      </c>
    </row>
    <row r="9" customFormat="false" ht="15" hidden="false" customHeight="true" outlineLevel="0" collapsed="false">
      <c r="A9" s="3" t="s">
        <v>44</v>
      </c>
      <c r="B9" s="6" t="n">
        <v>85</v>
      </c>
      <c r="C9" s="8" t="n">
        <v>3.75</v>
      </c>
      <c r="D9" s="9" t="n">
        <f aca="false">IF(C9=0,0,B9/C9)</f>
        <v>22.6666666666667</v>
      </c>
      <c r="F9" s="3" t="s">
        <v>45</v>
      </c>
      <c r="G9" s="6" t="n">
        <v>25</v>
      </c>
      <c r="K9" s="3" t="s">
        <v>46</v>
      </c>
      <c r="L9" s="7" t="n">
        <v>0.2</v>
      </c>
    </row>
    <row r="10" customFormat="false" ht="15" hidden="false" customHeight="true" outlineLevel="0" collapsed="false">
      <c r="A10" s="3" t="s">
        <v>47</v>
      </c>
      <c r="B10" s="6" t="n">
        <v>300</v>
      </c>
      <c r="C10" s="8" t="n">
        <v>10</v>
      </c>
      <c r="D10" s="9" t="n">
        <f aca="false">IF(C10=0,0,B10/C10)</f>
        <v>30</v>
      </c>
      <c r="F10" s="3" t="s">
        <v>48</v>
      </c>
      <c r="G10" s="6" t="n">
        <v>50</v>
      </c>
      <c r="K10" s="3" t="s">
        <v>49</v>
      </c>
      <c r="L10" s="8" t="n">
        <v>1.25</v>
      </c>
    </row>
    <row r="11" customFormat="false" ht="15" hidden="false" customHeight="true" outlineLevel="0" collapsed="false">
      <c r="A11" s="3" t="s">
        <v>50</v>
      </c>
      <c r="B11" s="6" t="n">
        <v>1150</v>
      </c>
      <c r="C11" s="8" t="n">
        <v>24</v>
      </c>
      <c r="D11" s="9" t="n">
        <f aca="false">IF(C11=0,0,B11/C11)</f>
        <v>47.9166666666667</v>
      </c>
      <c r="F11" s="3" t="s">
        <v>51</v>
      </c>
      <c r="G11" s="6" t="n">
        <v>100</v>
      </c>
      <c r="K11" s="3" t="s">
        <v>52</v>
      </c>
      <c r="L11" s="8" t="n">
        <v>12</v>
      </c>
    </row>
    <row r="12" customFormat="false" ht="15" hidden="false" customHeight="true" outlineLevel="0" collapsed="false">
      <c r="A12" s="3" t="s">
        <v>53</v>
      </c>
      <c r="B12" s="6" t="n">
        <v>1500</v>
      </c>
      <c r="C12" s="8" t="n">
        <v>24</v>
      </c>
      <c r="D12" s="9" t="n">
        <f aca="false">IF(C12=0,0,B12/C12)</f>
        <v>62.5</v>
      </c>
      <c r="F12" s="3" t="s">
        <v>54</v>
      </c>
      <c r="G12" s="6" t="n">
        <v>150</v>
      </c>
      <c r="K12" s="3" t="s">
        <v>55</v>
      </c>
      <c r="L12" s="8" t="n">
        <v>3</v>
      </c>
    </row>
    <row r="13" customFormat="false" ht="15" hidden="false" customHeight="true" outlineLevel="0" collapsed="false">
      <c r="F13" s="3" t="s">
        <v>56</v>
      </c>
      <c r="G13" s="6" t="n">
        <v>250</v>
      </c>
      <c r="K13" s="3" t="s">
        <v>57</v>
      </c>
      <c r="L13" s="8" t="n">
        <v>2.5</v>
      </c>
    </row>
    <row r="14" customFormat="false" ht="15" hidden="false" customHeight="true" outlineLevel="0" collapsed="false">
      <c r="A14" s="2" t="s">
        <v>58</v>
      </c>
    </row>
    <row r="15" customFormat="false" ht="15" hidden="false" customHeight="true" outlineLevel="0" collapsed="false">
      <c r="A15" s="5" t="s">
        <v>59</v>
      </c>
      <c r="B15" s="5" t="s">
        <v>60</v>
      </c>
      <c r="C15" s="5" t="s">
        <v>61</v>
      </c>
    </row>
    <row r="16" customFormat="false" ht="15" hidden="false" customHeight="true" outlineLevel="0" collapsed="false">
      <c r="A16" s="3" t="s">
        <v>62</v>
      </c>
      <c r="B16" s="6" t="n">
        <v>500</v>
      </c>
      <c r="C16" s="6" t="n">
        <v>2</v>
      </c>
      <c r="F16" s="2" t="s">
        <v>63</v>
      </c>
      <c r="K16" s="2" t="s">
        <v>64</v>
      </c>
    </row>
    <row r="17" customFormat="false" ht="26.25" hidden="false" customHeight="true" outlineLevel="0" collapsed="false">
      <c r="A17" s="3" t="s">
        <v>65</v>
      </c>
      <c r="B17" s="6" t="n">
        <v>3000</v>
      </c>
      <c r="C17" s="6" t="n">
        <v>7</v>
      </c>
      <c r="F17" s="5" t="s">
        <v>66</v>
      </c>
      <c r="G17" s="5" t="s">
        <v>67</v>
      </c>
      <c r="H17" s="5" t="s">
        <v>68</v>
      </c>
      <c r="I17" s="5" t="s">
        <v>69</v>
      </c>
      <c r="K17" s="3" t="s">
        <v>70</v>
      </c>
      <c r="L17" s="10" t="n">
        <v>0.6</v>
      </c>
    </row>
    <row r="18" customFormat="false" ht="15" hidden="false" customHeight="true" outlineLevel="0" collapsed="false">
      <c r="A18" s="3" t="s">
        <v>71</v>
      </c>
      <c r="B18" s="6" t="n">
        <v>12000</v>
      </c>
      <c r="C18" s="6" t="n">
        <v>17</v>
      </c>
      <c r="F18" s="3" t="s">
        <v>72</v>
      </c>
      <c r="G18" s="6" t="n">
        <v>25</v>
      </c>
      <c r="H18" s="6" t="n">
        <v>15</v>
      </c>
      <c r="I18" s="11" t="n">
        <f aca="false">G18-H18</f>
        <v>10</v>
      </c>
      <c r="K18" s="3" t="s">
        <v>73</v>
      </c>
      <c r="L18" s="10" t="n">
        <v>0.3</v>
      </c>
    </row>
    <row r="19" customFormat="false" ht="15" hidden="false" customHeight="true" outlineLevel="0" collapsed="false">
      <c r="A19" s="3" t="s">
        <v>74</v>
      </c>
      <c r="B19" s="6" t="n">
        <v>40000</v>
      </c>
      <c r="C19" s="6" t="n">
        <v>30</v>
      </c>
      <c r="F19" s="3" t="s">
        <v>75</v>
      </c>
      <c r="G19" s="6" t="n">
        <v>75</v>
      </c>
      <c r="H19" s="6" t="n">
        <v>30</v>
      </c>
      <c r="I19" s="11" t="n">
        <f aca="false">G19-H19</f>
        <v>45</v>
      </c>
      <c r="K19" s="3" t="s">
        <v>76</v>
      </c>
      <c r="L19" s="10" t="n">
        <v>0.1</v>
      </c>
    </row>
    <row r="20" customFormat="false" ht="15" hidden="false" customHeight="true" outlineLevel="0" collapsed="false">
      <c r="A20" s="3" t="s">
        <v>77</v>
      </c>
      <c r="B20" s="6" t="n">
        <v>120000</v>
      </c>
      <c r="C20" s="6" t="n">
        <v>58</v>
      </c>
      <c r="F20" s="3" t="s">
        <v>78</v>
      </c>
      <c r="G20" s="6" t="n">
        <v>75</v>
      </c>
      <c r="H20" s="6" t="n">
        <v>60</v>
      </c>
      <c r="I20" s="11" t="n">
        <f aca="false">G20-H20</f>
        <v>15</v>
      </c>
      <c r="K20" s="3" t="s">
        <v>79</v>
      </c>
      <c r="L20" s="6" t="n">
        <v>4000</v>
      </c>
    </row>
    <row r="21" customFormat="false" ht="15" hidden="false" customHeight="true" outlineLevel="0" collapsed="false">
      <c r="A21" s="3" t="s">
        <v>80</v>
      </c>
      <c r="B21" s="6" t="n">
        <v>250000</v>
      </c>
      <c r="C21" s="6" t="n">
        <v>88</v>
      </c>
      <c r="F21" s="3" t="s">
        <v>81</v>
      </c>
      <c r="G21" s="6" t="n">
        <v>200</v>
      </c>
      <c r="H21" s="6" t="n">
        <v>90</v>
      </c>
      <c r="I21" s="11" t="n">
        <f aca="false">G21-H21</f>
        <v>110</v>
      </c>
      <c r="K21" s="3" t="s">
        <v>82</v>
      </c>
      <c r="L21" s="6" t="n">
        <v>35000</v>
      </c>
    </row>
    <row r="22" customFormat="false" ht="15" hidden="false" customHeight="true" outlineLevel="0" collapsed="false">
      <c r="F22" s="3" t="s">
        <v>83</v>
      </c>
      <c r="G22" s="6" t="n">
        <v>500</v>
      </c>
      <c r="H22" s="6" t="n">
        <v>90</v>
      </c>
      <c r="I22" s="11" t="n">
        <f aca="false">G22-H22</f>
        <v>410</v>
      </c>
      <c r="K22" s="3" t="s">
        <v>84</v>
      </c>
      <c r="L22" s="6" t="n">
        <v>220000</v>
      </c>
    </row>
    <row r="23" customFormat="false" ht="15" hidden="false" customHeight="true" outlineLevel="0" collapsed="false">
      <c r="K23" s="3" t="s">
        <v>85</v>
      </c>
      <c r="L23" s="6" t="n">
        <v>100</v>
      </c>
    </row>
    <row r="24" customFormat="false" ht="15" hidden="false" customHeight="true" outlineLevel="0" collapsed="false">
      <c r="A24" s="12" t="s">
        <v>86</v>
      </c>
      <c r="K24" s="3" t="s">
        <v>87</v>
      </c>
      <c r="L24" s="6" t="n">
        <v>1200</v>
      </c>
    </row>
    <row r="25" customFormat="false" ht="26.25" hidden="false" customHeight="true" outlineLevel="0" collapsed="false">
      <c r="A25" s="5" t="s">
        <v>88</v>
      </c>
      <c r="B25" s="5" t="s">
        <v>89</v>
      </c>
      <c r="C25" s="5" t="s">
        <v>90</v>
      </c>
      <c r="D25" s="5" t="s">
        <v>91</v>
      </c>
      <c r="E25" s="5" t="s">
        <v>92</v>
      </c>
      <c r="K25" s="3" t="s">
        <v>93</v>
      </c>
      <c r="L25" s="6" t="n">
        <v>6000</v>
      </c>
    </row>
    <row r="26" customFormat="false" ht="15" hidden="false" customHeight="true" outlineLevel="0" collapsed="false">
      <c r="A26" s="3" t="s">
        <v>94</v>
      </c>
      <c r="B26" s="6" t="n">
        <v>500000</v>
      </c>
      <c r="C26" s="6" t="n">
        <v>85</v>
      </c>
      <c r="D26" s="6" t="n">
        <v>60000</v>
      </c>
      <c r="E26" s="6" t="n">
        <v>500000</v>
      </c>
      <c r="K26" s="3" t="s">
        <v>95</v>
      </c>
      <c r="L26" s="10" t="n">
        <v>0.3</v>
      </c>
    </row>
    <row r="27" customFormat="false" ht="15" hidden="false" customHeight="true" outlineLevel="0" collapsed="false">
      <c r="A27" s="3" t="s">
        <v>96</v>
      </c>
      <c r="B27" s="6" t="n">
        <v>1500000</v>
      </c>
      <c r="C27" s="6" t="n">
        <v>72</v>
      </c>
      <c r="D27" s="6" t="n">
        <v>90000</v>
      </c>
      <c r="E27" s="6" t="n">
        <v>1500000</v>
      </c>
      <c r="K27" s="3" t="s">
        <v>97</v>
      </c>
      <c r="L27" s="6" t="n">
        <v>6000000</v>
      </c>
    </row>
    <row r="28" customFormat="false" ht="15" hidden="false" customHeight="true" outlineLevel="0" collapsed="false">
      <c r="A28" s="3" t="s">
        <v>98</v>
      </c>
      <c r="B28" s="6" t="n">
        <v>4000000</v>
      </c>
      <c r="C28" s="6" t="n">
        <v>68</v>
      </c>
      <c r="D28" s="6" t="n">
        <v>130000</v>
      </c>
      <c r="E28" s="6" t="n">
        <v>4000000</v>
      </c>
      <c r="K28" s="3" t="s">
        <v>99</v>
      </c>
      <c r="L28" s="6" t="n">
        <v>70</v>
      </c>
    </row>
    <row r="29" customFormat="false" ht="15" hidden="false" customHeight="true" outlineLevel="0" collapsed="false">
      <c r="A29" s="3" t="s">
        <v>100</v>
      </c>
      <c r="B29" s="6" t="n">
        <v>10000000</v>
      </c>
      <c r="C29" s="6" t="n">
        <v>62</v>
      </c>
      <c r="D29" s="6" t="n">
        <v>200000</v>
      </c>
      <c r="E29" s="6" t="n">
        <v>10000000</v>
      </c>
      <c r="K29" s="4" t="s">
        <v>101</v>
      </c>
      <c r="L29" s="6" t="n">
        <v>8</v>
      </c>
    </row>
    <row r="30" customFormat="false" ht="15" hidden="false" customHeight="true" outlineLevel="0" collapsed="false">
      <c r="A30" s="3" t="s">
        <v>102</v>
      </c>
      <c r="B30" s="6" t="n">
        <v>25000000</v>
      </c>
      <c r="C30" s="6" t="n">
        <v>58</v>
      </c>
      <c r="D30" s="6" t="n">
        <v>300000</v>
      </c>
      <c r="E30" s="6" t="n">
        <v>25000000</v>
      </c>
      <c r="K30" s="4" t="s">
        <v>103</v>
      </c>
      <c r="L30" s="10" t="n">
        <v>0.03</v>
      </c>
    </row>
    <row r="31" customFormat="false" ht="15" hidden="false" customHeight="true" outlineLevel="0" collapsed="false">
      <c r="A31" s="3" t="s">
        <v>104</v>
      </c>
      <c r="B31" s="6" t="n">
        <v>45000000</v>
      </c>
      <c r="C31" s="6" t="n">
        <v>54</v>
      </c>
      <c r="D31" s="6" t="n">
        <v>420000</v>
      </c>
      <c r="E31" s="6" t="n">
        <v>50000000</v>
      </c>
      <c r="K31" s="4" t="s">
        <v>105</v>
      </c>
      <c r="L31" s="6" t="n">
        <v>11500000</v>
      </c>
    </row>
    <row r="32" customFormat="false" ht="15" hidden="false" customHeight="true" outlineLevel="0" collapsed="false">
      <c r="A32" s="3" t="s">
        <v>106</v>
      </c>
      <c r="B32" s="6" t="n">
        <v>60000000</v>
      </c>
      <c r="C32" s="6" t="n">
        <v>52</v>
      </c>
      <c r="D32" s="6" t="n">
        <v>550000</v>
      </c>
      <c r="E32" s="6" t="n">
        <v>80000000</v>
      </c>
    </row>
    <row r="33" customFormat="false" ht="15" hidden="false" customHeight="true" outlineLevel="0" collapsed="false">
      <c r="A33" s="3" t="s">
        <v>107</v>
      </c>
      <c r="B33" s="6" t="n">
        <v>75000000</v>
      </c>
      <c r="C33" s="6" t="n">
        <v>50</v>
      </c>
      <c r="D33" s="6" t="n">
        <v>650000</v>
      </c>
      <c r="E33" s="6" t="n">
        <v>128000000</v>
      </c>
    </row>
    <row r="34" customFormat="false" ht="15" hidden="false" customHeight="true" outlineLevel="0" collapsed="false">
      <c r="A34" s="3" t="s">
        <v>108</v>
      </c>
      <c r="B34" s="6" t="n">
        <v>93750000</v>
      </c>
      <c r="C34" s="6" t="n">
        <v>49</v>
      </c>
      <c r="D34" s="6" t="n">
        <v>720000</v>
      </c>
      <c r="E34" s="6" t="n">
        <v>204800000</v>
      </c>
    </row>
    <row r="35" customFormat="false" ht="15" hidden="false" customHeight="true" outlineLevel="0" collapsed="false">
      <c r="A35" s="3" t="s">
        <v>109</v>
      </c>
      <c r="B35" s="6" t="n">
        <v>117187500</v>
      </c>
      <c r="C35" s="6" t="n">
        <v>48</v>
      </c>
      <c r="D35" s="6" t="n">
        <v>790000</v>
      </c>
      <c r="E35" s="6" t="n">
        <v>327680000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4" min="3" style="1" width="16"/>
    <col collapsed="false" customWidth="true" hidden="false" outlineLevel="0" max="6" min="5" style="1" width="14"/>
    <col collapsed="false" customWidth="true" hidden="false" outlineLevel="0" max="7" min="7" style="1" width="12"/>
    <col collapsed="false" customWidth="true" hidden="false" outlineLevel="0" max="8" min="8" style="1" width="13"/>
    <col collapsed="false" customWidth="true" hidden="false" outlineLevel="0" max="9" min="9" style="1" width="10"/>
    <col collapsed="false" customWidth="true" hidden="false" outlineLevel="0" max="10" min="10" style="1" width="16"/>
    <col collapsed="false" customWidth="true" hidden="false" outlineLevel="0" max="12" min="11" style="1" width="12"/>
    <col collapsed="false" customWidth="true" hidden="false" outlineLevel="0" max="13" min="13" style="1" width="20"/>
  </cols>
  <sheetData>
    <row r="1" customFormat="false" ht="15" hidden="false" customHeight="true" outlineLevel="0" collapsed="false">
      <c r="A1" s="2" t="s">
        <v>110</v>
      </c>
    </row>
    <row r="3" customFormat="false" ht="26.25" hidden="false" customHeight="true" outlineLevel="0" collapsed="false">
      <c r="A3" s="5" t="s">
        <v>29</v>
      </c>
      <c r="B3" s="5" t="s">
        <v>111</v>
      </c>
      <c r="C3" s="5" t="s">
        <v>112</v>
      </c>
      <c r="D3" s="5" t="s">
        <v>113</v>
      </c>
      <c r="E3" s="5" t="s">
        <v>114</v>
      </c>
      <c r="F3" s="5" t="s">
        <v>115</v>
      </c>
      <c r="G3" s="5" t="s">
        <v>116</v>
      </c>
      <c r="H3" s="5" t="s">
        <v>117</v>
      </c>
      <c r="I3" s="5" t="s">
        <v>118</v>
      </c>
      <c r="J3" s="5" t="s">
        <v>119</v>
      </c>
      <c r="K3" s="5" t="s">
        <v>120</v>
      </c>
      <c r="L3" s="5" t="s">
        <v>121</v>
      </c>
      <c r="M3" s="5" t="s">
        <v>122</v>
      </c>
    </row>
    <row r="4" customFormat="false" ht="15" hidden="false" customHeight="true" outlineLevel="0" collapsed="false">
      <c r="A4" s="3" t="s">
        <v>123</v>
      </c>
      <c r="B4" s="6" t="n">
        <v>30</v>
      </c>
      <c r="C4" s="7" t="n">
        <v>0.0333333333333333</v>
      </c>
      <c r="D4" s="13" t="n">
        <f aca="false">C4*Params!$L$10</f>
        <v>0.0416666666666666</v>
      </c>
      <c r="E4" s="6" t="n">
        <v>10</v>
      </c>
      <c r="F4" s="6" t="n">
        <v>25</v>
      </c>
      <c r="G4" s="11" t="n">
        <f aca="false">(E4+F4)/2</f>
        <v>17.5</v>
      </c>
      <c r="H4" s="14" t="n">
        <v>8</v>
      </c>
      <c r="I4" s="6" t="n">
        <v>0</v>
      </c>
      <c r="J4" s="9" t="n">
        <f aca="false">IF(D4=0,0,I4/D4)</f>
        <v>0</v>
      </c>
      <c r="K4" s="6" t="n">
        <v>0</v>
      </c>
      <c r="L4" s="6" t="n">
        <v>0</v>
      </c>
      <c r="M4" s="15" t="n">
        <f aca="false">IF(C4=0,0,I4/C4)</f>
        <v>0</v>
      </c>
    </row>
    <row r="5" customFormat="false" ht="15" hidden="false" customHeight="true" outlineLevel="0" collapsed="false">
      <c r="A5" s="3" t="s">
        <v>38</v>
      </c>
      <c r="B5" s="6" t="n">
        <v>30</v>
      </c>
      <c r="C5" s="7" t="n">
        <v>0.2</v>
      </c>
      <c r="D5" s="13" t="n">
        <f aca="false">C5*Params!$L$10</f>
        <v>0.25</v>
      </c>
      <c r="E5" s="6" t="n">
        <v>80</v>
      </c>
      <c r="F5" s="6" t="n">
        <v>150</v>
      </c>
      <c r="G5" s="11" t="n">
        <f aca="false">(E5+F5)/2</f>
        <v>115</v>
      </c>
      <c r="H5" s="14" t="n">
        <v>11.2</v>
      </c>
      <c r="I5" s="6" t="n">
        <v>3</v>
      </c>
      <c r="J5" s="9" t="n">
        <f aca="false">IF(D5=0,0,I5/D5)</f>
        <v>12</v>
      </c>
      <c r="K5" s="6" t="n">
        <v>800</v>
      </c>
      <c r="L5" s="6" t="n">
        <v>1150</v>
      </c>
      <c r="M5" s="15" t="n">
        <f aca="false">IF(C5=0,0,I5/C5)</f>
        <v>15</v>
      </c>
    </row>
    <row r="6" customFormat="false" ht="15" hidden="false" customHeight="true" outlineLevel="0" collapsed="false">
      <c r="A6" s="3" t="s">
        <v>41</v>
      </c>
      <c r="B6" s="6" t="n">
        <v>30</v>
      </c>
      <c r="C6" s="7" t="n">
        <v>0.75</v>
      </c>
      <c r="D6" s="13" t="n">
        <f aca="false">C6*Params!$L$10</f>
        <v>0.9375</v>
      </c>
      <c r="E6" s="6" t="n">
        <v>400</v>
      </c>
      <c r="F6" s="6" t="n">
        <v>700</v>
      </c>
      <c r="G6" s="11" t="n">
        <f aca="false">(E6+F6)/2</f>
        <v>550</v>
      </c>
      <c r="H6" s="14" t="n">
        <v>15.7</v>
      </c>
      <c r="I6" s="6" t="n">
        <v>16</v>
      </c>
      <c r="J6" s="9" t="n">
        <f aca="false">IF(D6=0,0,I6/D6)</f>
        <v>17.0666666666667</v>
      </c>
      <c r="K6" s="6" t="n">
        <v>5000</v>
      </c>
      <c r="L6" s="6" t="n">
        <v>5500</v>
      </c>
      <c r="M6" s="15" t="n">
        <f aca="false">IF(C6=0,0,I6/C6)</f>
        <v>21.3333333333333</v>
      </c>
    </row>
    <row r="7" customFormat="false" ht="15" hidden="false" customHeight="true" outlineLevel="0" collapsed="false">
      <c r="A7" s="3" t="s">
        <v>44</v>
      </c>
      <c r="B7" s="6" t="n">
        <v>25</v>
      </c>
      <c r="C7" s="7" t="n">
        <v>3</v>
      </c>
      <c r="D7" s="13" t="n">
        <f aca="false">C7*Params!$L$10</f>
        <v>3.75</v>
      </c>
      <c r="E7" s="6" t="n">
        <v>2000</v>
      </c>
      <c r="F7" s="6" t="n">
        <v>4000</v>
      </c>
      <c r="G7" s="11" t="n">
        <f aca="false">(E7+F7)/2</f>
        <v>3000</v>
      </c>
      <c r="H7" s="14" t="n">
        <v>21.9</v>
      </c>
      <c r="I7" s="6" t="n">
        <v>85</v>
      </c>
      <c r="J7" s="9" t="n">
        <f aca="false">IF(D7=0,0,I7/D7)</f>
        <v>22.6666666666667</v>
      </c>
      <c r="K7" s="6" t="n">
        <v>15000</v>
      </c>
      <c r="L7" s="6" t="n">
        <v>30000</v>
      </c>
      <c r="M7" s="15" t="n">
        <f aca="false">IF(C7=0,0,I7/C7)</f>
        <v>28.3333333333333</v>
      </c>
    </row>
    <row r="8" customFormat="false" ht="15" hidden="false" customHeight="true" outlineLevel="0" collapsed="false">
      <c r="A8" s="3" t="s">
        <v>47</v>
      </c>
      <c r="B8" s="6" t="n">
        <v>20</v>
      </c>
      <c r="C8" s="7" t="n">
        <v>8</v>
      </c>
      <c r="D8" s="13" t="n">
        <f aca="false">C8*Params!$L$10</f>
        <v>10</v>
      </c>
      <c r="E8" s="6" t="n">
        <v>12000</v>
      </c>
      <c r="F8" s="6" t="n">
        <v>20000</v>
      </c>
      <c r="G8" s="11" t="n">
        <f aca="false">(E8+F8)/2</f>
        <v>16000</v>
      </c>
      <c r="H8" s="14" t="n">
        <v>30.7</v>
      </c>
      <c r="I8" s="6" t="n">
        <v>300</v>
      </c>
      <c r="J8" s="9" t="n">
        <f aca="false">IF(D8=0,0,I8/D8)</f>
        <v>30</v>
      </c>
      <c r="K8" s="6" t="n">
        <v>60000</v>
      </c>
      <c r="L8" s="6" t="n">
        <v>160000</v>
      </c>
      <c r="M8" s="15" t="n">
        <f aca="false">IF(C8=0,0,I8/C8)</f>
        <v>37.5</v>
      </c>
    </row>
    <row r="9" customFormat="false" ht="15" hidden="false" customHeight="true" outlineLevel="0" collapsed="false">
      <c r="A9" s="3" t="s">
        <v>50</v>
      </c>
      <c r="B9" s="6" t="n">
        <v>15</v>
      </c>
      <c r="C9" s="7" t="n">
        <v>24</v>
      </c>
      <c r="D9" s="13" t="n">
        <f aca="false">C9</f>
        <v>24</v>
      </c>
      <c r="E9" s="6" t="n">
        <v>60000</v>
      </c>
      <c r="F9" s="6" t="n">
        <v>100000</v>
      </c>
      <c r="G9" s="11" t="n">
        <f aca="false">(E9+F9)/2</f>
        <v>80000</v>
      </c>
      <c r="H9" s="14" t="n">
        <v>43</v>
      </c>
      <c r="I9" s="6" t="n">
        <v>1150</v>
      </c>
      <c r="J9" s="9" t="n">
        <f aca="false">IF(D9=0,0,I9/D9)</f>
        <v>47.9166666666667</v>
      </c>
      <c r="K9" s="6" t="n">
        <v>100000</v>
      </c>
      <c r="L9" s="6" t="n">
        <v>800000</v>
      </c>
      <c r="M9" s="15" t="n">
        <f aca="false">IF(C9=0,0,I9/C9)</f>
        <v>47.9166666666667</v>
      </c>
    </row>
    <row r="10" customFormat="false" ht="15" hidden="false" customHeight="true" outlineLevel="0" collapsed="false">
      <c r="A10" s="3" t="s">
        <v>53</v>
      </c>
      <c r="B10" s="6" t="n">
        <v>120</v>
      </c>
      <c r="C10" s="7" t="n">
        <v>24</v>
      </c>
      <c r="D10" s="13" t="n">
        <f aca="false">C10</f>
        <v>24</v>
      </c>
      <c r="E10" s="6" t="n">
        <v>250000</v>
      </c>
      <c r="F10" s="6" t="n">
        <v>800000</v>
      </c>
      <c r="G10" s="11" t="n">
        <f aca="false">(E10+F10)/2</f>
        <v>525000</v>
      </c>
      <c r="H10" s="14" t="n">
        <v>60</v>
      </c>
      <c r="I10" s="6" t="n">
        <v>1500</v>
      </c>
      <c r="J10" s="9" t="n">
        <f aca="false">IF(D10=0,0,I10/D10)</f>
        <v>62.5</v>
      </c>
      <c r="K10" s="6" t="n">
        <v>200000</v>
      </c>
      <c r="L10" s="6" t="n">
        <v>1575000</v>
      </c>
      <c r="M10" s="15" t="n">
        <f aca="false">IF(C10=0,0,I10/C10)</f>
        <v>62.5</v>
      </c>
    </row>
    <row r="12" customFormat="false" ht="15" hidden="false" customHeight="true" outlineLevel="0" collapsed="false">
      <c r="A12" s="3" t="s">
        <v>124</v>
      </c>
    </row>
    <row r="13" customFormat="false" ht="15" hidden="false" customHeight="true" outlineLevel="0" collapsed="false">
      <c r="A13" s="3" t="s">
        <v>125</v>
      </c>
    </row>
    <row r="14" customFormat="false" ht="15" hidden="false" customHeight="true" outlineLevel="0" collapsed="false">
      <c r="A14" s="2" t="str">
        <f aca="false">IF(AND(J5&lt;J6,J6&lt;J7,J7&lt;J8,J8&lt;J9,J9&lt;J10),"MONOTONIC (offline): PASS","MONOTONIC (offline): FAIL")</f>
        <v>MONOTONIC (offline): PASS</v>
      </c>
    </row>
    <row r="15" customFormat="false" ht="15" hidden="false" customHeight="true" outlineLevel="0" collapsed="false">
      <c r="A15" s="12" t="str">
        <f aca="false">IF(AND(M5&lt;M6,M6&lt;M7,M7&lt;M8,M8&lt;=M9,M9&lt;M10),"MONOTONIC (online): PASS","MONOTONIC (online): FAIL")</f>
        <v>MONOTONIC (online):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3" min="2" style="1" width="12"/>
    <col collapsed="false" customWidth="true" hidden="false" outlineLevel="0" max="4" min="4" style="1" width="9"/>
    <col collapsed="false" customWidth="true" hidden="false" outlineLevel="0" max="5" min="5" style="1" width="16"/>
    <col collapsed="false" customWidth="true" hidden="false" outlineLevel="0" max="6" min="6" style="1" width="10"/>
    <col collapsed="false" customWidth="true" hidden="false" outlineLevel="0" max="7" min="7" style="1" width="12"/>
    <col collapsed="false" customWidth="true" hidden="false" outlineLevel="0" max="8" min="8" style="1" width="11"/>
    <col collapsed="false" customWidth="true" hidden="false" outlineLevel="0" max="9" min="9" style="1" width="9"/>
    <col collapsed="false" customWidth="true" hidden="false" outlineLevel="0" max="10" min="10" style="1" width="10"/>
    <col collapsed="false" customWidth="true" hidden="false" outlineLevel="0" max="11" min="11" style="1" width="9"/>
    <col collapsed="false" customWidth="true" hidden="false" outlineLevel="0" max="12" min="12" style="1" width="12"/>
    <col collapsed="false" customWidth="true" hidden="false" outlineLevel="0" max="14" min="14" style="1" width="16"/>
  </cols>
  <sheetData>
    <row r="1" customFormat="false" ht="15" hidden="false" customHeight="true" outlineLevel="0" collapsed="false">
      <c r="A1" s="2" t="s">
        <v>126</v>
      </c>
    </row>
    <row r="2" customFormat="false" ht="15" hidden="false" customHeight="true" outlineLevel="0" collapsed="false">
      <c r="A2" s="3" t="s">
        <v>127</v>
      </c>
    </row>
    <row r="4" customFormat="false" ht="26.25" hidden="false" customHeight="true" outlineLevel="0" collapsed="false">
      <c r="A4" s="5" t="s">
        <v>128</v>
      </c>
      <c r="B4" s="5" t="s">
        <v>129</v>
      </c>
      <c r="C4" s="5" t="s">
        <v>130</v>
      </c>
      <c r="D4" s="5" t="s">
        <v>131</v>
      </c>
      <c r="E4" s="5" t="s">
        <v>132</v>
      </c>
      <c r="F4" s="5" t="s">
        <v>133</v>
      </c>
      <c r="G4" s="5" t="s">
        <v>134</v>
      </c>
      <c r="H4" s="5" t="s">
        <v>135</v>
      </c>
      <c r="I4" s="5" t="s">
        <v>136</v>
      </c>
      <c r="J4" s="5" t="s">
        <v>137</v>
      </c>
      <c r="K4" s="5" t="s">
        <v>138</v>
      </c>
      <c r="L4" s="5" t="s">
        <v>139</v>
      </c>
      <c r="N4" s="2" t="s">
        <v>140</v>
      </c>
    </row>
    <row r="5" customFormat="false" ht="15" hidden="false" customHeight="true" outlineLevel="0" collapsed="false">
      <c r="A5" s="3" t="s">
        <v>141</v>
      </c>
      <c r="B5" s="6" t="n">
        <v>1</v>
      </c>
      <c r="C5" s="8" t="n">
        <v>28</v>
      </c>
      <c r="D5" s="8" t="n">
        <v>0</v>
      </c>
      <c r="E5" s="8" t="n">
        <v>0</v>
      </c>
      <c r="F5" s="8" t="n">
        <v>0</v>
      </c>
      <c r="G5" s="8" t="n">
        <v>0</v>
      </c>
      <c r="H5" s="8" t="n">
        <v>0</v>
      </c>
      <c r="I5" s="6" t="n">
        <v>150</v>
      </c>
      <c r="J5" s="6" t="n">
        <v>0</v>
      </c>
      <c r="K5" s="6" t="n">
        <v>0</v>
      </c>
      <c r="L5" s="16" t="n">
        <f aca="false">C5*Params!$B$7+D5*Params!$B$8+E5*Params!$B$9+F5*Params!$B$10+G5*Params!$B$11+H5*Params!$B$12+I5+J5+K5</f>
        <v>234</v>
      </c>
      <c r="N5" s="7" t="n">
        <v>1</v>
      </c>
    </row>
    <row r="6" customFormat="false" ht="15" hidden="false" customHeight="true" outlineLevel="0" collapsed="false">
      <c r="A6" s="3" t="s">
        <v>142</v>
      </c>
      <c r="B6" s="6" t="n">
        <v>4</v>
      </c>
      <c r="C6" s="8" t="n">
        <v>37</v>
      </c>
      <c r="D6" s="8" t="n">
        <v>18</v>
      </c>
      <c r="E6" s="8" t="n">
        <v>0</v>
      </c>
      <c r="F6" s="8" t="n">
        <v>0</v>
      </c>
      <c r="G6" s="8" t="n">
        <v>0</v>
      </c>
      <c r="H6" s="8" t="n">
        <v>0</v>
      </c>
      <c r="I6" s="6" t="n">
        <v>300</v>
      </c>
      <c r="J6" s="6" t="n">
        <v>50</v>
      </c>
      <c r="K6" s="6" t="n">
        <v>0</v>
      </c>
      <c r="L6" s="16" t="n">
        <f aca="false">C6*Params!$B$7+D6*Params!$B$8+E6*Params!$B$9+F6*Params!$B$10+G6*Params!$B$11+H6*Params!$B$12+I6+J6+K6</f>
        <v>749</v>
      </c>
    </row>
    <row r="7" customFormat="false" ht="15" hidden="false" customHeight="true" outlineLevel="0" collapsed="false">
      <c r="A7" s="3" t="s">
        <v>143</v>
      </c>
      <c r="B7" s="6" t="n">
        <v>11</v>
      </c>
      <c r="C7" s="8" t="n">
        <v>17</v>
      </c>
      <c r="D7" s="8" t="n">
        <v>16.5</v>
      </c>
      <c r="E7" s="8" t="n">
        <v>8.5</v>
      </c>
      <c r="F7" s="8" t="n">
        <v>0</v>
      </c>
      <c r="G7" s="8" t="n">
        <v>0</v>
      </c>
      <c r="H7" s="8" t="n">
        <v>0</v>
      </c>
      <c r="I7" s="6" t="n">
        <v>350</v>
      </c>
      <c r="J7" s="6" t="n">
        <v>100</v>
      </c>
      <c r="K7" s="6" t="n">
        <v>0</v>
      </c>
      <c r="L7" s="16" t="n">
        <f aca="false">C7*Params!$B$7+D7*Params!$B$8+E7*Params!$B$9+F7*Params!$B$10+G7*Params!$B$11+H7*Params!$B$12+I7+J7+K7</f>
        <v>1487.5</v>
      </c>
    </row>
    <row r="8" customFormat="false" ht="15" hidden="false" customHeight="true" outlineLevel="0" collapsed="false">
      <c r="A8" s="3" t="s">
        <v>144</v>
      </c>
      <c r="B8" s="6" t="n">
        <v>31</v>
      </c>
      <c r="C8" s="8" t="n">
        <v>0</v>
      </c>
      <c r="D8" s="8" t="n">
        <v>10</v>
      </c>
      <c r="E8" s="8" t="n">
        <v>5</v>
      </c>
      <c r="F8" s="8" t="n">
        <v>7</v>
      </c>
      <c r="G8" s="8" t="n">
        <v>0.4</v>
      </c>
      <c r="H8" s="8" t="n">
        <v>0</v>
      </c>
      <c r="I8" s="6" t="n">
        <v>350</v>
      </c>
      <c r="J8" s="6" t="n">
        <v>300</v>
      </c>
      <c r="K8" s="6" t="n">
        <v>25</v>
      </c>
      <c r="L8" s="16" t="n">
        <f aca="false">C8*Params!$B$7+D8*Params!$B$8+E8*Params!$B$9+F8*Params!$B$10+G8*Params!$B$11+H8*Params!$B$12+I8+J8+K8</f>
        <v>3820</v>
      </c>
    </row>
    <row r="9" customFormat="false" ht="15" hidden="false" customHeight="true" outlineLevel="0" collapsed="false">
      <c r="A9" s="3" t="s">
        <v>145</v>
      </c>
      <c r="B9" s="6" t="n">
        <v>61</v>
      </c>
      <c r="C9" s="8" t="n">
        <v>0</v>
      </c>
      <c r="D9" s="8" t="n">
        <v>0</v>
      </c>
      <c r="E9" s="8" t="n">
        <v>4</v>
      </c>
      <c r="F9" s="8" t="n">
        <v>7</v>
      </c>
      <c r="G9" s="8" t="n">
        <v>0.6</v>
      </c>
      <c r="H9" s="8" t="n">
        <v>0.15</v>
      </c>
      <c r="I9" s="6" t="n">
        <v>350</v>
      </c>
      <c r="J9" s="6" t="n">
        <v>400</v>
      </c>
      <c r="K9" s="6" t="n">
        <v>60</v>
      </c>
      <c r="L9" s="16" t="n">
        <f aca="false">C9*Params!$B$7+D9*Params!$B$8+E9*Params!$B$9+F9*Params!$B$10+G9*Params!$B$11+H9*Params!$B$12+I9+J9+K9</f>
        <v>4165</v>
      </c>
    </row>
    <row r="12" customFormat="false" ht="15" hidden="false" customHeight="true" outlineLevel="0" collapsed="false">
      <c r="A12" s="2" t="s">
        <v>146</v>
      </c>
    </row>
    <row r="13" customFormat="false" ht="15" hidden="false" customHeight="true" outlineLevel="0" collapsed="false">
      <c r="A13" s="5" t="s">
        <v>147</v>
      </c>
      <c r="B13" s="5" t="s">
        <v>139</v>
      </c>
      <c r="C13" s="5" t="s">
        <v>148</v>
      </c>
      <c r="E13" s="2" t="s">
        <v>149</v>
      </c>
    </row>
    <row r="14" customFormat="false" ht="15" hidden="false" customHeight="true" outlineLevel="0" collapsed="false">
      <c r="A14" s="11" t="n">
        <v>1</v>
      </c>
      <c r="B14" s="11" t="n">
        <f aca="false">VLOOKUP(A14,$B$5:$L$9,11,TRUE())*$N$5</f>
        <v>234</v>
      </c>
      <c r="C14" s="11" t="n">
        <f aca="false">B14</f>
        <v>234</v>
      </c>
      <c r="E14" s="5" t="s">
        <v>59</v>
      </c>
      <c r="F14" s="5" t="s">
        <v>60</v>
      </c>
      <c r="G14" s="5" t="s">
        <v>150</v>
      </c>
      <c r="H14" s="5" t="s">
        <v>151</v>
      </c>
      <c r="I14" s="5" t="s">
        <v>152</v>
      </c>
      <c r="J14" s="5" t="s">
        <v>153</v>
      </c>
    </row>
    <row r="15" customFormat="false" ht="15" hidden="false" customHeight="true" outlineLevel="0" collapsed="false">
      <c r="A15" s="11" t="n">
        <v>2</v>
      </c>
      <c r="B15" s="11" t="n">
        <f aca="false">VLOOKUP(A15,$B$5:$L$9,11,TRUE())*$N$5</f>
        <v>234</v>
      </c>
      <c r="C15" s="11" t="n">
        <f aca="false">C14+B15</f>
        <v>468</v>
      </c>
      <c r="E15" s="17" t="str">
        <f aca="false">Params!A16</f>
        <v>Associate</v>
      </c>
      <c r="F15" s="16" t="n">
        <f aca="false">Params!B16</f>
        <v>500</v>
      </c>
      <c r="G15" s="18" t="n">
        <f aca="false">IF(C$133&gt;=F15,IFERROR(MATCH(F15,$C$14:$C$133)+1,1),"not by d120")</f>
        <v>3</v>
      </c>
      <c r="H15" s="16" t="n">
        <f aca="false">Params!C16</f>
        <v>2</v>
      </c>
      <c r="I15" s="11" t="n">
        <f aca="false">IF(ISNUMBER(G15),G15-H15,"")</f>
        <v>1</v>
      </c>
      <c r="J15" s="3" t="str">
        <f aca="false">IF(ISNUMBER(G15),IF(ABS(I15)&lt;=H15*0.2+2,"PASS","REVIEW"),"REVIEW")</f>
        <v>PASS</v>
      </c>
    </row>
    <row r="16" customFormat="false" ht="15" hidden="false" customHeight="true" outlineLevel="0" collapsed="false">
      <c r="A16" s="11" t="n">
        <v>3</v>
      </c>
      <c r="B16" s="11" t="n">
        <f aca="false">VLOOKUP(A16,$B$5:$L$9,11,TRUE())*$N$5</f>
        <v>234</v>
      </c>
      <c r="C16" s="11" t="n">
        <f aca="false">C15+B16</f>
        <v>702</v>
      </c>
      <c r="E16" s="17" t="str">
        <f aca="false">Params!A17</f>
        <v>Researcher</v>
      </c>
      <c r="F16" s="16" t="n">
        <f aca="false">Params!B17</f>
        <v>3000</v>
      </c>
      <c r="G16" s="18" t="n">
        <f aca="false">IF(C$133&gt;=F16,IFERROR(MATCH(F16,$C$14:$C$133)+1,1),"not by d120")</f>
        <v>7</v>
      </c>
      <c r="H16" s="16" t="n">
        <f aca="false">Params!C17</f>
        <v>7</v>
      </c>
      <c r="I16" s="11" t="n">
        <f aca="false">IF(ISNUMBER(G16),G16-H16,"")</f>
        <v>0</v>
      </c>
      <c r="J16" s="3" t="str">
        <f aca="false">IF(ISNUMBER(G16),IF(ABS(I16)&lt;=H16*0.2+2,"PASS","REVIEW"),"REVIEW")</f>
        <v>PASS</v>
      </c>
    </row>
    <row r="17" customFormat="false" ht="15" hidden="false" customHeight="true" outlineLevel="0" collapsed="false">
      <c r="A17" s="11" t="n">
        <v>4</v>
      </c>
      <c r="B17" s="11" t="n">
        <f aca="false">VLOOKUP(A17,$B$5:$L$9,11,TRUE())*$N$5</f>
        <v>749</v>
      </c>
      <c r="C17" s="11" t="n">
        <f aca="false">C16+B17</f>
        <v>1451</v>
      </c>
      <c r="E17" s="17" t="str">
        <f aca="false">Params!A18</f>
        <v>Senior</v>
      </c>
      <c r="F17" s="16" t="n">
        <f aca="false">Params!B18</f>
        <v>12000</v>
      </c>
      <c r="G17" s="18" t="n">
        <f aca="false">IF(C$133&gt;=F17,IFERROR(MATCH(F17,$C$14:$C$133)+1,1),"not by d120")</f>
        <v>15</v>
      </c>
      <c r="H17" s="16" t="n">
        <f aca="false">Params!C18</f>
        <v>17</v>
      </c>
      <c r="I17" s="11" t="n">
        <f aca="false">IF(ISNUMBER(G17),G17-H17,"")</f>
        <v>-2</v>
      </c>
      <c r="J17" s="3" t="str">
        <f aca="false">IF(ISNUMBER(G17),IF(ABS(I17)&lt;=H17*0.2+2,"PASS","REVIEW"),"REVIEW")</f>
        <v>PASS</v>
      </c>
    </row>
    <row r="18" customFormat="false" ht="15" hidden="false" customHeight="true" outlineLevel="0" collapsed="false">
      <c r="A18" s="11" t="n">
        <v>5</v>
      </c>
      <c r="B18" s="11" t="n">
        <f aca="false">VLOOKUP(A18,$B$5:$L$9,11,TRUE())*$N$5</f>
        <v>749</v>
      </c>
      <c r="C18" s="11" t="n">
        <f aca="false">C17+B18</f>
        <v>2200</v>
      </c>
      <c r="E18" s="17" t="str">
        <f aca="false">Params!A19</f>
        <v>Principal</v>
      </c>
      <c r="F18" s="16" t="n">
        <f aca="false">Params!B19</f>
        <v>40000</v>
      </c>
      <c r="G18" s="18" t="n">
        <f aca="false">IF(C$133&gt;=F18,IFERROR(MATCH(F18,$C$14:$C$133)+1,1),"not by d120")</f>
        <v>32</v>
      </c>
      <c r="H18" s="16" t="n">
        <f aca="false">Params!C19</f>
        <v>30</v>
      </c>
      <c r="I18" s="11" t="n">
        <f aca="false">IF(ISNUMBER(G18),G18-H18,"")</f>
        <v>2</v>
      </c>
      <c r="J18" s="3" t="str">
        <f aca="false">IF(ISNUMBER(G18),IF(ABS(I18)&lt;=H18*0.2+2,"PASS","REVIEW"),"REVIEW")</f>
        <v>PASS</v>
      </c>
    </row>
    <row r="19" customFormat="false" ht="15" hidden="false" customHeight="true" outlineLevel="0" collapsed="false">
      <c r="A19" s="11" t="n">
        <v>6</v>
      </c>
      <c r="B19" s="11" t="n">
        <f aca="false">VLOOKUP(A19,$B$5:$L$9,11,TRUE())*$N$5</f>
        <v>749</v>
      </c>
      <c r="C19" s="11" t="n">
        <f aca="false">C18+B19</f>
        <v>2949</v>
      </c>
      <c r="E19" s="17" t="str">
        <f aca="false">Params!A20</f>
        <v>Director</v>
      </c>
      <c r="F19" s="16" t="n">
        <f aca="false">Params!B20</f>
        <v>120000</v>
      </c>
      <c r="G19" s="18" t="n">
        <f aca="false">IF(C$133&gt;=F19,IFERROR(MATCH(F19,$C$14:$C$133)+1,1),"not by d120")</f>
        <v>53</v>
      </c>
      <c r="H19" s="16" t="n">
        <f aca="false">Params!C20</f>
        <v>58</v>
      </c>
      <c r="I19" s="11" t="n">
        <f aca="false">IF(ISNUMBER(G19),G19-H19,"")</f>
        <v>-5</v>
      </c>
      <c r="J19" s="3" t="str">
        <f aca="false">IF(ISNUMBER(G19),IF(ABS(I19)&lt;=H19*0.2+2,"PASS","REVIEW"),"REVIEW")</f>
        <v>PASS</v>
      </c>
    </row>
    <row r="20" customFormat="false" ht="15" hidden="false" customHeight="true" outlineLevel="0" collapsed="false">
      <c r="A20" s="11" t="n">
        <v>7</v>
      </c>
      <c r="B20" s="11" t="n">
        <f aca="false">VLOOKUP(A20,$B$5:$L$9,11,TRUE())*$N$5</f>
        <v>749</v>
      </c>
      <c r="C20" s="11" t="n">
        <f aca="false">C19+B20</f>
        <v>3698</v>
      </c>
      <c r="E20" s="17" t="str">
        <f aca="false">Params!A21</f>
        <v>Chief Scientist</v>
      </c>
      <c r="F20" s="16" t="n">
        <f aca="false">Params!B21</f>
        <v>250000</v>
      </c>
      <c r="G20" s="18" t="n">
        <f aca="false">IF(C$133&gt;=F20,IFERROR(MATCH(F20,$C$14:$C$133)+1,1),"not by d120")</f>
        <v>84</v>
      </c>
      <c r="H20" s="16" t="n">
        <f aca="false">Params!C21</f>
        <v>88</v>
      </c>
      <c r="I20" s="11" t="n">
        <f aca="false">IF(ISNUMBER(G20),G20-H20,"")</f>
        <v>-4</v>
      </c>
      <c r="J20" s="3" t="str">
        <f aca="false">IF(ISNUMBER(G20),IF(ABS(I20)&lt;=H20*0.2+2,"PASS","REVIEW"),"REVIEW")</f>
        <v>PASS</v>
      </c>
    </row>
    <row r="21" customFormat="false" ht="15" hidden="false" customHeight="true" outlineLevel="0" collapsed="false">
      <c r="A21" s="11" t="n">
        <v>8</v>
      </c>
      <c r="B21" s="11" t="n">
        <f aca="false">VLOOKUP(A21,$B$5:$L$9,11,TRUE())*$N$5</f>
        <v>749</v>
      </c>
      <c r="C21" s="11" t="n">
        <f aca="false">C20+B21</f>
        <v>4447</v>
      </c>
    </row>
    <row r="22" customFormat="false" ht="15" hidden="false" customHeight="true" outlineLevel="0" collapsed="false">
      <c r="A22" s="11" t="n">
        <v>9</v>
      </c>
      <c r="B22" s="11" t="n">
        <f aca="false">VLOOKUP(A22,$B$5:$L$9,11,TRUE())*$N$5</f>
        <v>749</v>
      </c>
      <c r="C22" s="11" t="n">
        <f aca="false">C21+B22</f>
        <v>5196</v>
      </c>
      <c r="E22" s="3" t="s">
        <v>154</v>
      </c>
    </row>
    <row r="23" customFormat="false" ht="15" hidden="false" customHeight="true" outlineLevel="0" collapsed="false">
      <c r="A23" s="11" t="n">
        <v>10</v>
      </c>
      <c r="B23" s="11" t="n">
        <f aca="false">VLOOKUP(A23,$B$5:$L$9,11,TRUE())*$N$5</f>
        <v>749</v>
      </c>
      <c r="C23" s="11" t="n">
        <f aca="false">C22+B23</f>
        <v>5945</v>
      </c>
    </row>
    <row r="24" customFormat="false" ht="15" hidden="false" customHeight="true" outlineLevel="0" collapsed="false">
      <c r="A24" s="11" t="n">
        <v>11</v>
      </c>
      <c r="B24" s="11" t="n">
        <f aca="false">VLOOKUP(A24,$B$5:$L$9,11,TRUE())*$N$5</f>
        <v>1487.5</v>
      </c>
      <c r="C24" s="11" t="n">
        <f aca="false">C23+B24</f>
        <v>7432.5</v>
      </c>
    </row>
    <row r="25" customFormat="false" ht="15" hidden="false" customHeight="true" outlineLevel="0" collapsed="false">
      <c r="A25" s="11" t="n">
        <v>12</v>
      </c>
      <c r="B25" s="11" t="n">
        <f aca="false">VLOOKUP(A25,$B$5:$L$9,11,TRUE())*$N$5</f>
        <v>1487.5</v>
      </c>
      <c r="C25" s="11" t="n">
        <f aca="false">C24+B25</f>
        <v>8920</v>
      </c>
    </row>
    <row r="26" customFormat="false" ht="15" hidden="false" customHeight="true" outlineLevel="0" collapsed="false">
      <c r="A26" s="11" t="n">
        <v>13</v>
      </c>
      <c r="B26" s="11" t="n">
        <f aca="false">VLOOKUP(A26,$B$5:$L$9,11,TRUE())*$N$5</f>
        <v>1487.5</v>
      </c>
      <c r="C26" s="11" t="n">
        <f aca="false">C25+B26</f>
        <v>10407.5</v>
      </c>
    </row>
    <row r="27" customFormat="false" ht="15" hidden="false" customHeight="true" outlineLevel="0" collapsed="false">
      <c r="A27" s="11" t="n">
        <v>14</v>
      </c>
      <c r="B27" s="11" t="n">
        <f aca="false">VLOOKUP(A27,$B$5:$L$9,11,TRUE())*$N$5</f>
        <v>1487.5</v>
      </c>
      <c r="C27" s="11" t="n">
        <f aca="false">C26+B27</f>
        <v>11895</v>
      </c>
    </row>
    <row r="28" customFormat="false" ht="15" hidden="false" customHeight="true" outlineLevel="0" collapsed="false">
      <c r="A28" s="11" t="n">
        <v>15</v>
      </c>
      <c r="B28" s="11" t="n">
        <f aca="false">VLOOKUP(A28,$B$5:$L$9,11,TRUE())*$N$5</f>
        <v>1487.5</v>
      </c>
      <c r="C28" s="11" t="n">
        <f aca="false">C27+B28</f>
        <v>13382.5</v>
      </c>
    </row>
    <row r="29" customFormat="false" ht="15" hidden="false" customHeight="true" outlineLevel="0" collapsed="false">
      <c r="A29" s="11" t="n">
        <v>16</v>
      </c>
      <c r="B29" s="11" t="n">
        <f aca="false">VLOOKUP(A29,$B$5:$L$9,11,TRUE())*$N$5</f>
        <v>1487.5</v>
      </c>
      <c r="C29" s="11" t="n">
        <f aca="false">C28+B29</f>
        <v>14870</v>
      </c>
    </row>
    <row r="30" customFormat="false" ht="15" hidden="false" customHeight="true" outlineLevel="0" collapsed="false">
      <c r="A30" s="11" t="n">
        <v>17</v>
      </c>
      <c r="B30" s="11" t="n">
        <f aca="false">VLOOKUP(A30,$B$5:$L$9,11,TRUE())*$N$5</f>
        <v>1487.5</v>
      </c>
      <c r="C30" s="11" t="n">
        <f aca="false">C29+B30</f>
        <v>16357.5</v>
      </c>
    </row>
    <row r="31" customFormat="false" ht="15" hidden="false" customHeight="true" outlineLevel="0" collapsed="false">
      <c r="A31" s="11" t="n">
        <v>18</v>
      </c>
      <c r="B31" s="11" t="n">
        <f aca="false">VLOOKUP(A31,$B$5:$L$9,11,TRUE())*$N$5</f>
        <v>1487.5</v>
      </c>
      <c r="C31" s="11" t="n">
        <f aca="false">C30+B31</f>
        <v>17845</v>
      </c>
    </row>
    <row r="32" customFormat="false" ht="15" hidden="false" customHeight="true" outlineLevel="0" collapsed="false">
      <c r="A32" s="11" t="n">
        <v>19</v>
      </c>
      <c r="B32" s="11" t="n">
        <f aca="false">VLOOKUP(A32,$B$5:$L$9,11,TRUE())*$N$5</f>
        <v>1487.5</v>
      </c>
      <c r="C32" s="11" t="n">
        <f aca="false">C31+B32</f>
        <v>19332.5</v>
      </c>
    </row>
    <row r="33" customFormat="false" ht="15" hidden="false" customHeight="true" outlineLevel="0" collapsed="false">
      <c r="A33" s="11" t="n">
        <v>20</v>
      </c>
      <c r="B33" s="11" t="n">
        <f aca="false">VLOOKUP(A33,$B$5:$L$9,11,TRUE())*$N$5</f>
        <v>1487.5</v>
      </c>
      <c r="C33" s="11" t="n">
        <f aca="false">C32+B33</f>
        <v>20820</v>
      </c>
    </row>
    <row r="34" customFormat="false" ht="15" hidden="false" customHeight="true" outlineLevel="0" collapsed="false">
      <c r="A34" s="11" t="n">
        <v>21</v>
      </c>
      <c r="B34" s="11" t="n">
        <f aca="false">VLOOKUP(A34,$B$5:$L$9,11,TRUE())*$N$5</f>
        <v>1487.5</v>
      </c>
      <c r="C34" s="11" t="n">
        <f aca="false">C33+B34</f>
        <v>22307.5</v>
      </c>
    </row>
    <row r="35" customFormat="false" ht="15" hidden="false" customHeight="true" outlineLevel="0" collapsed="false">
      <c r="A35" s="11" t="n">
        <v>22</v>
      </c>
      <c r="B35" s="11" t="n">
        <f aca="false">VLOOKUP(A35,$B$5:$L$9,11,TRUE())*$N$5</f>
        <v>1487.5</v>
      </c>
      <c r="C35" s="11" t="n">
        <f aca="false">C34+B35</f>
        <v>23795</v>
      </c>
    </row>
    <row r="36" customFormat="false" ht="15" hidden="false" customHeight="true" outlineLevel="0" collapsed="false">
      <c r="A36" s="11" t="n">
        <v>23</v>
      </c>
      <c r="B36" s="11" t="n">
        <f aca="false">VLOOKUP(A36,$B$5:$L$9,11,TRUE())*$N$5</f>
        <v>1487.5</v>
      </c>
      <c r="C36" s="11" t="n">
        <f aca="false">C35+B36</f>
        <v>25282.5</v>
      </c>
    </row>
    <row r="37" customFormat="false" ht="15" hidden="false" customHeight="true" outlineLevel="0" collapsed="false">
      <c r="A37" s="11" t="n">
        <v>24</v>
      </c>
      <c r="B37" s="11" t="n">
        <f aca="false">VLOOKUP(A37,$B$5:$L$9,11,TRUE())*$N$5</f>
        <v>1487.5</v>
      </c>
      <c r="C37" s="11" t="n">
        <f aca="false">C36+B37</f>
        <v>26770</v>
      </c>
    </row>
    <row r="38" customFormat="false" ht="15" hidden="false" customHeight="true" outlineLevel="0" collapsed="false">
      <c r="A38" s="11" t="n">
        <v>25</v>
      </c>
      <c r="B38" s="11" t="n">
        <f aca="false">VLOOKUP(A38,$B$5:$L$9,11,TRUE())*$N$5</f>
        <v>1487.5</v>
      </c>
      <c r="C38" s="11" t="n">
        <f aca="false">C37+B38</f>
        <v>28257.5</v>
      </c>
    </row>
    <row r="39" customFormat="false" ht="15" hidden="false" customHeight="true" outlineLevel="0" collapsed="false">
      <c r="A39" s="11" t="n">
        <v>26</v>
      </c>
      <c r="B39" s="11" t="n">
        <f aca="false">VLOOKUP(A39,$B$5:$L$9,11,TRUE())*$N$5</f>
        <v>1487.5</v>
      </c>
      <c r="C39" s="11" t="n">
        <f aca="false">C38+B39</f>
        <v>29745</v>
      </c>
    </row>
    <row r="40" customFormat="false" ht="15" hidden="false" customHeight="true" outlineLevel="0" collapsed="false">
      <c r="A40" s="11" t="n">
        <v>27</v>
      </c>
      <c r="B40" s="11" t="n">
        <f aca="false">VLOOKUP(A40,$B$5:$L$9,11,TRUE())*$N$5</f>
        <v>1487.5</v>
      </c>
      <c r="C40" s="11" t="n">
        <f aca="false">C39+B40</f>
        <v>31232.5</v>
      </c>
    </row>
    <row r="41" customFormat="false" ht="15" hidden="false" customHeight="true" outlineLevel="0" collapsed="false">
      <c r="A41" s="11" t="n">
        <v>28</v>
      </c>
      <c r="B41" s="11" t="n">
        <f aca="false">VLOOKUP(A41,$B$5:$L$9,11,TRUE())*$N$5</f>
        <v>1487.5</v>
      </c>
      <c r="C41" s="11" t="n">
        <f aca="false">C40+B41</f>
        <v>32720</v>
      </c>
    </row>
    <row r="42" customFormat="false" ht="15" hidden="false" customHeight="true" outlineLevel="0" collapsed="false">
      <c r="A42" s="11" t="n">
        <v>29</v>
      </c>
      <c r="B42" s="11" t="n">
        <f aca="false">VLOOKUP(A42,$B$5:$L$9,11,TRUE())*$N$5</f>
        <v>1487.5</v>
      </c>
      <c r="C42" s="11" t="n">
        <f aca="false">C41+B42</f>
        <v>34207.5</v>
      </c>
    </row>
    <row r="43" customFormat="false" ht="15" hidden="false" customHeight="true" outlineLevel="0" collapsed="false">
      <c r="A43" s="11" t="n">
        <v>30</v>
      </c>
      <c r="B43" s="11" t="n">
        <f aca="false">VLOOKUP(A43,$B$5:$L$9,11,TRUE())*$N$5</f>
        <v>1487.5</v>
      </c>
      <c r="C43" s="11" t="n">
        <f aca="false">C42+B43</f>
        <v>35695</v>
      </c>
    </row>
    <row r="44" customFormat="false" ht="15" hidden="false" customHeight="true" outlineLevel="0" collapsed="false">
      <c r="A44" s="11" t="n">
        <v>31</v>
      </c>
      <c r="B44" s="11" t="n">
        <f aca="false">VLOOKUP(A44,$B$5:$L$9,11,TRUE())*$N$5</f>
        <v>3820</v>
      </c>
      <c r="C44" s="11" t="n">
        <f aca="false">C43+B44</f>
        <v>39515</v>
      </c>
    </row>
    <row r="45" customFormat="false" ht="15" hidden="false" customHeight="true" outlineLevel="0" collapsed="false">
      <c r="A45" s="11" t="n">
        <v>32</v>
      </c>
      <c r="B45" s="11" t="n">
        <f aca="false">VLOOKUP(A45,$B$5:$L$9,11,TRUE())*$N$5</f>
        <v>3820</v>
      </c>
      <c r="C45" s="11" t="n">
        <f aca="false">C44+B45</f>
        <v>43335</v>
      </c>
    </row>
    <row r="46" customFormat="false" ht="15" hidden="false" customHeight="true" outlineLevel="0" collapsed="false">
      <c r="A46" s="11" t="n">
        <v>33</v>
      </c>
      <c r="B46" s="11" t="n">
        <f aca="false">VLOOKUP(A46,$B$5:$L$9,11,TRUE())*$N$5</f>
        <v>3820</v>
      </c>
      <c r="C46" s="11" t="n">
        <f aca="false">C45+B46</f>
        <v>47155</v>
      </c>
    </row>
    <row r="47" customFormat="false" ht="15" hidden="false" customHeight="true" outlineLevel="0" collapsed="false">
      <c r="A47" s="11" t="n">
        <v>34</v>
      </c>
      <c r="B47" s="11" t="n">
        <f aca="false">VLOOKUP(A47,$B$5:$L$9,11,TRUE())*$N$5</f>
        <v>3820</v>
      </c>
      <c r="C47" s="11" t="n">
        <f aca="false">C46+B47</f>
        <v>50975</v>
      </c>
    </row>
    <row r="48" customFormat="false" ht="15" hidden="false" customHeight="true" outlineLevel="0" collapsed="false">
      <c r="A48" s="11" t="n">
        <v>35</v>
      </c>
      <c r="B48" s="11" t="n">
        <f aca="false">VLOOKUP(A48,$B$5:$L$9,11,TRUE())*$N$5</f>
        <v>3820</v>
      </c>
      <c r="C48" s="11" t="n">
        <f aca="false">C47+B48</f>
        <v>54795</v>
      </c>
    </row>
    <row r="49" customFormat="false" ht="15" hidden="false" customHeight="true" outlineLevel="0" collapsed="false">
      <c r="A49" s="11" t="n">
        <v>36</v>
      </c>
      <c r="B49" s="11" t="n">
        <f aca="false">VLOOKUP(A49,$B$5:$L$9,11,TRUE())*$N$5</f>
        <v>3820</v>
      </c>
      <c r="C49" s="11" t="n">
        <f aca="false">C48+B49</f>
        <v>58615</v>
      </c>
    </row>
    <row r="50" customFormat="false" ht="15" hidden="false" customHeight="true" outlineLevel="0" collapsed="false">
      <c r="A50" s="11" t="n">
        <v>37</v>
      </c>
      <c r="B50" s="11" t="n">
        <f aca="false">VLOOKUP(A50,$B$5:$L$9,11,TRUE())*$N$5</f>
        <v>3820</v>
      </c>
      <c r="C50" s="11" t="n">
        <f aca="false">C49+B50</f>
        <v>62435</v>
      </c>
    </row>
    <row r="51" customFormat="false" ht="15" hidden="false" customHeight="true" outlineLevel="0" collapsed="false">
      <c r="A51" s="11" t="n">
        <v>38</v>
      </c>
      <c r="B51" s="11" t="n">
        <f aca="false">VLOOKUP(A51,$B$5:$L$9,11,TRUE())*$N$5</f>
        <v>3820</v>
      </c>
      <c r="C51" s="11" t="n">
        <f aca="false">C50+B51</f>
        <v>66255</v>
      </c>
    </row>
    <row r="52" customFormat="false" ht="15" hidden="false" customHeight="true" outlineLevel="0" collapsed="false">
      <c r="A52" s="11" t="n">
        <v>39</v>
      </c>
      <c r="B52" s="11" t="n">
        <f aca="false">VLOOKUP(A52,$B$5:$L$9,11,TRUE())*$N$5</f>
        <v>3820</v>
      </c>
      <c r="C52" s="11" t="n">
        <f aca="false">C51+B52</f>
        <v>70075</v>
      </c>
    </row>
    <row r="53" customFormat="false" ht="15" hidden="false" customHeight="true" outlineLevel="0" collapsed="false">
      <c r="A53" s="11" t="n">
        <v>40</v>
      </c>
      <c r="B53" s="11" t="n">
        <f aca="false">VLOOKUP(A53,$B$5:$L$9,11,TRUE())*$N$5</f>
        <v>3820</v>
      </c>
      <c r="C53" s="11" t="n">
        <f aca="false">C52+B53</f>
        <v>73895</v>
      </c>
    </row>
    <row r="54" customFormat="false" ht="15" hidden="false" customHeight="true" outlineLevel="0" collapsed="false">
      <c r="A54" s="11" t="n">
        <v>41</v>
      </c>
      <c r="B54" s="11" t="n">
        <f aca="false">VLOOKUP(A54,$B$5:$L$9,11,TRUE())*$N$5</f>
        <v>3820</v>
      </c>
      <c r="C54" s="11" t="n">
        <f aca="false">C53+B54</f>
        <v>77715</v>
      </c>
    </row>
    <row r="55" customFormat="false" ht="15" hidden="false" customHeight="true" outlineLevel="0" collapsed="false">
      <c r="A55" s="11" t="n">
        <v>42</v>
      </c>
      <c r="B55" s="11" t="n">
        <f aca="false">VLOOKUP(A55,$B$5:$L$9,11,TRUE())*$N$5</f>
        <v>3820</v>
      </c>
      <c r="C55" s="11" t="n">
        <f aca="false">C54+B55</f>
        <v>81535</v>
      </c>
    </row>
    <row r="56" customFormat="false" ht="15" hidden="false" customHeight="true" outlineLevel="0" collapsed="false">
      <c r="A56" s="11" t="n">
        <v>43</v>
      </c>
      <c r="B56" s="11" t="n">
        <f aca="false">VLOOKUP(A56,$B$5:$L$9,11,TRUE())*$N$5</f>
        <v>3820</v>
      </c>
      <c r="C56" s="11" t="n">
        <f aca="false">C55+B56</f>
        <v>85355</v>
      </c>
    </row>
    <row r="57" customFormat="false" ht="15" hidden="false" customHeight="true" outlineLevel="0" collapsed="false">
      <c r="A57" s="11" t="n">
        <v>44</v>
      </c>
      <c r="B57" s="11" t="n">
        <f aca="false">VLOOKUP(A57,$B$5:$L$9,11,TRUE())*$N$5</f>
        <v>3820</v>
      </c>
      <c r="C57" s="11" t="n">
        <f aca="false">C56+B57</f>
        <v>89175</v>
      </c>
    </row>
    <row r="58" customFormat="false" ht="15" hidden="false" customHeight="true" outlineLevel="0" collapsed="false">
      <c r="A58" s="11" t="n">
        <v>45</v>
      </c>
      <c r="B58" s="11" t="n">
        <f aca="false">VLOOKUP(A58,$B$5:$L$9,11,TRUE())*$N$5</f>
        <v>3820</v>
      </c>
      <c r="C58" s="11" t="n">
        <f aca="false">C57+B58</f>
        <v>92995</v>
      </c>
    </row>
    <row r="59" customFormat="false" ht="15" hidden="false" customHeight="true" outlineLevel="0" collapsed="false">
      <c r="A59" s="11" t="n">
        <v>46</v>
      </c>
      <c r="B59" s="11" t="n">
        <f aca="false">VLOOKUP(A59,$B$5:$L$9,11,TRUE())*$N$5</f>
        <v>3820</v>
      </c>
      <c r="C59" s="11" t="n">
        <f aca="false">C58+B59</f>
        <v>96815</v>
      </c>
    </row>
    <row r="60" customFormat="false" ht="15" hidden="false" customHeight="true" outlineLevel="0" collapsed="false">
      <c r="A60" s="11" t="n">
        <v>47</v>
      </c>
      <c r="B60" s="11" t="n">
        <f aca="false">VLOOKUP(A60,$B$5:$L$9,11,TRUE())*$N$5</f>
        <v>3820</v>
      </c>
      <c r="C60" s="11" t="n">
        <f aca="false">C59+B60</f>
        <v>100635</v>
      </c>
    </row>
    <row r="61" customFormat="false" ht="15" hidden="false" customHeight="true" outlineLevel="0" collapsed="false">
      <c r="A61" s="11" t="n">
        <v>48</v>
      </c>
      <c r="B61" s="11" t="n">
        <f aca="false">VLOOKUP(A61,$B$5:$L$9,11,TRUE())*$N$5</f>
        <v>3820</v>
      </c>
      <c r="C61" s="11" t="n">
        <f aca="false">C60+B61</f>
        <v>104455</v>
      </c>
    </row>
    <row r="62" customFormat="false" ht="15" hidden="false" customHeight="true" outlineLevel="0" collapsed="false">
      <c r="A62" s="11" t="n">
        <v>49</v>
      </c>
      <c r="B62" s="11" t="n">
        <f aca="false">VLOOKUP(A62,$B$5:$L$9,11,TRUE())*$N$5</f>
        <v>3820</v>
      </c>
      <c r="C62" s="11" t="n">
        <f aca="false">C61+B62</f>
        <v>108275</v>
      </c>
    </row>
    <row r="63" customFormat="false" ht="15" hidden="false" customHeight="true" outlineLevel="0" collapsed="false">
      <c r="A63" s="11" t="n">
        <v>50</v>
      </c>
      <c r="B63" s="11" t="n">
        <f aca="false">VLOOKUP(A63,$B$5:$L$9,11,TRUE())*$N$5</f>
        <v>3820</v>
      </c>
      <c r="C63" s="11" t="n">
        <f aca="false">C62+B63</f>
        <v>112095</v>
      </c>
    </row>
    <row r="64" customFormat="false" ht="15" hidden="false" customHeight="true" outlineLevel="0" collapsed="false">
      <c r="A64" s="11" t="n">
        <v>51</v>
      </c>
      <c r="B64" s="11" t="n">
        <f aca="false">VLOOKUP(A64,$B$5:$L$9,11,TRUE())*$N$5</f>
        <v>3820</v>
      </c>
      <c r="C64" s="11" t="n">
        <f aca="false">C63+B64</f>
        <v>115915</v>
      </c>
    </row>
    <row r="65" customFormat="false" ht="15" hidden="false" customHeight="true" outlineLevel="0" collapsed="false">
      <c r="A65" s="11" t="n">
        <v>52</v>
      </c>
      <c r="B65" s="11" t="n">
        <f aca="false">VLOOKUP(A65,$B$5:$L$9,11,TRUE())*$N$5</f>
        <v>3820</v>
      </c>
      <c r="C65" s="11" t="n">
        <f aca="false">C64+B65</f>
        <v>119735</v>
      </c>
    </row>
    <row r="66" customFormat="false" ht="15" hidden="false" customHeight="true" outlineLevel="0" collapsed="false">
      <c r="A66" s="11" t="n">
        <v>53</v>
      </c>
      <c r="B66" s="11" t="n">
        <f aca="false">VLOOKUP(A66,$B$5:$L$9,11,TRUE())*$N$5</f>
        <v>3820</v>
      </c>
      <c r="C66" s="11" t="n">
        <f aca="false">C65+B66</f>
        <v>123555</v>
      </c>
    </row>
    <row r="67" customFormat="false" ht="15" hidden="false" customHeight="true" outlineLevel="0" collapsed="false">
      <c r="A67" s="11" t="n">
        <v>54</v>
      </c>
      <c r="B67" s="11" t="n">
        <f aca="false">VLOOKUP(A67,$B$5:$L$9,11,TRUE())*$N$5</f>
        <v>3820</v>
      </c>
      <c r="C67" s="11" t="n">
        <f aca="false">C66+B67</f>
        <v>127375</v>
      </c>
    </row>
    <row r="68" customFormat="false" ht="15" hidden="false" customHeight="true" outlineLevel="0" collapsed="false">
      <c r="A68" s="11" t="n">
        <v>55</v>
      </c>
      <c r="B68" s="11" t="n">
        <f aca="false">VLOOKUP(A68,$B$5:$L$9,11,TRUE())*$N$5</f>
        <v>3820</v>
      </c>
      <c r="C68" s="11" t="n">
        <f aca="false">C67+B68</f>
        <v>131195</v>
      </c>
    </row>
    <row r="69" customFormat="false" ht="15" hidden="false" customHeight="true" outlineLevel="0" collapsed="false">
      <c r="A69" s="11" t="n">
        <v>56</v>
      </c>
      <c r="B69" s="11" t="n">
        <f aca="false">VLOOKUP(A69,$B$5:$L$9,11,TRUE())*$N$5</f>
        <v>3820</v>
      </c>
      <c r="C69" s="11" t="n">
        <f aca="false">C68+B69</f>
        <v>135015</v>
      </c>
    </row>
    <row r="70" customFormat="false" ht="15" hidden="false" customHeight="true" outlineLevel="0" collapsed="false">
      <c r="A70" s="11" t="n">
        <v>57</v>
      </c>
      <c r="B70" s="11" t="n">
        <f aca="false">VLOOKUP(A70,$B$5:$L$9,11,TRUE())*$N$5</f>
        <v>3820</v>
      </c>
      <c r="C70" s="11" t="n">
        <f aca="false">C69+B70</f>
        <v>138835</v>
      </c>
    </row>
    <row r="71" customFormat="false" ht="15" hidden="false" customHeight="true" outlineLevel="0" collapsed="false">
      <c r="A71" s="11" t="n">
        <v>58</v>
      </c>
      <c r="B71" s="11" t="n">
        <f aca="false">VLOOKUP(A71,$B$5:$L$9,11,TRUE())*$N$5</f>
        <v>3820</v>
      </c>
      <c r="C71" s="11" t="n">
        <f aca="false">C70+B71</f>
        <v>142655</v>
      </c>
    </row>
    <row r="72" customFormat="false" ht="15" hidden="false" customHeight="true" outlineLevel="0" collapsed="false">
      <c r="A72" s="11" t="n">
        <v>59</v>
      </c>
      <c r="B72" s="11" t="n">
        <f aca="false">VLOOKUP(A72,$B$5:$L$9,11,TRUE())*$N$5</f>
        <v>3820</v>
      </c>
      <c r="C72" s="11" t="n">
        <f aca="false">C71+B72</f>
        <v>146475</v>
      </c>
    </row>
    <row r="73" customFormat="false" ht="15" hidden="false" customHeight="true" outlineLevel="0" collapsed="false">
      <c r="A73" s="11" t="n">
        <v>60</v>
      </c>
      <c r="B73" s="11" t="n">
        <f aca="false">VLOOKUP(A73,$B$5:$L$9,11,TRUE())*$N$5</f>
        <v>3820</v>
      </c>
      <c r="C73" s="11" t="n">
        <f aca="false">C72+B73</f>
        <v>150295</v>
      </c>
    </row>
    <row r="74" customFormat="false" ht="15" hidden="false" customHeight="true" outlineLevel="0" collapsed="false">
      <c r="A74" s="11" t="n">
        <v>61</v>
      </c>
      <c r="B74" s="11" t="n">
        <f aca="false">VLOOKUP(A74,$B$5:$L$9,11,TRUE())*$N$5</f>
        <v>4165</v>
      </c>
      <c r="C74" s="11" t="n">
        <f aca="false">C73+B74</f>
        <v>154460</v>
      </c>
    </row>
    <row r="75" customFormat="false" ht="15" hidden="false" customHeight="true" outlineLevel="0" collapsed="false">
      <c r="A75" s="11" t="n">
        <v>62</v>
      </c>
      <c r="B75" s="11" t="n">
        <f aca="false">VLOOKUP(A75,$B$5:$L$9,11,TRUE())*$N$5</f>
        <v>4165</v>
      </c>
      <c r="C75" s="11" t="n">
        <f aca="false">C74+B75</f>
        <v>158625</v>
      </c>
    </row>
    <row r="76" customFormat="false" ht="15" hidden="false" customHeight="true" outlineLevel="0" collapsed="false">
      <c r="A76" s="11" t="n">
        <v>63</v>
      </c>
      <c r="B76" s="11" t="n">
        <f aca="false">VLOOKUP(A76,$B$5:$L$9,11,TRUE())*$N$5</f>
        <v>4165</v>
      </c>
      <c r="C76" s="11" t="n">
        <f aca="false">C75+B76</f>
        <v>162790</v>
      </c>
    </row>
    <row r="77" customFormat="false" ht="15" hidden="false" customHeight="true" outlineLevel="0" collapsed="false">
      <c r="A77" s="11" t="n">
        <v>64</v>
      </c>
      <c r="B77" s="11" t="n">
        <f aca="false">VLOOKUP(A77,$B$5:$L$9,11,TRUE())*$N$5</f>
        <v>4165</v>
      </c>
      <c r="C77" s="11" t="n">
        <f aca="false">C76+B77</f>
        <v>166955</v>
      </c>
    </row>
    <row r="78" customFormat="false" ht="15" hidden="false" customHeight="true" outlineLevel="0" collapsed="false">
      <c r="A78" s="11" t="n">
        <v>65</v>
      </c>
      <c r="B78" s="11" t="n">
        <f aca="false">VLOOKUP(A78,$B$5:$L$9,11,TRUE())*$N$5</f>
        <v>4165</v>
      </c>
      <c r="C78" s="11" t="n">
        <f aca="false">C77+B78</f>
        <v>171120</v>
      </c>
    </row>
    <row r="79" customFormat="false" ht="15" hidden="false" customHeight="true" outlineLevel="0" collapsed="false">
      <c r="A79" s="11" t="n">
        <v>66</v>
      </c>
      <c r="B79" s="11" t="n">
        <f aca="false">VLOOKUP(A79,$B$5:$L$9,11,TRUE())*$N$5</f>
        <v>4165</v>
      </c>
      <c r="C79" s="11" t="n">
        <f aca="false">C78+B79</f>
        <v>175285</v>
      </c>
    </row>
    <row r="80" customFormat="false" ht="15" hidden="false" customHeight="true" outlineLevel="0" collapsed="false">
      <c r="A80" s="11" t="n">
        <v>67</v>
      </c>
      <c r="B80" s="11" t="n">
        <f aca="false">VLOOKUP(A80,$B$5:$L$9,11,TRUE())*$N$5</f>
        <v>4165</v>
      </c>
      <c r="C80" s="11" t="n">
        <f aca="false">C79+B80</f>
        <v>179450</v>
      </c>
    </row>
    <row r="81" customFormat="false" ht="15" hidden="false" customHeight="true" outlineLevel="0" collapsed="false">
      <c r="A81" s="11" t="n">
        <v>68</v>
      </c>
      <c r="B81" s="11" t="n">
        <f aca="false">VLOOKUP(A81,$B$5:$L$9,11,TRUE())*$N$5</f>
        <v>4165</v>
      </c>
      <c r="C81" s="11" t="n">
        <f aca="false">C80+B81</f>
        <v>183615</v>
      </c>
    </row>
    <row r="82" customFormat="false" ht="15" hidden="false" customHeight="true" outlineLevel="0" collapsed="false">
      <c r="A82" s="11" t="n">
        <v>69</v>
      </c>
      <c r="B82" s="11" t="n">
        <f aca="false">VLOOKUP(A82,$B$5:$L$9,11,TRUE())*$N$5</f>
        <v>4165</v>
      </c>
      <c r="C82" s="11" t="n">
        <f aca="false">C81+B82</f>
        <v>187780</v>
      </c>
    </row>
    <row r="83" customFormat="false" ht="15" hidden="false" customHeight="true" outlineLevel="0" collapsed="false">
      <c r="A83" s="11" t="n">
        <v>70</v>
      </c>
      <c r="B83" s="11" t="n">
        <f aca="false">VLOOKUP(A83,$B$5:$L$9,11,TRUE())*$N$5</f>
        <v>4165</v>
      </c>
      <c r="C83" s="11" t="n">
        <f aca="false">C82+B83</f>
        <v>191945</v>
      </c>
    </row>
    <row r="84" customFormat="false" ht="15" hidden="false" customHeight="true" outlineLevel="0" collapsed="false">
      <c r="A84" s="11" t="n">
        <v>71</v>
      </c>
      <c r="B84" s="11" t="n">
        <f aca="false">VLOOKUP(A84,$B$5:$L$9,11,TRUE())*$N$5</f>
        <v>4165</v>
      </c>
      <c r="C84" s="11" t="n">
        <f aca="false">C83+B84</f>
        <v>196110</v>
      </c>
    </row>
    <row r="85" customFormat="false" ht="15" hidden="false" customHeight="true" outlineLevel="0" collapsed="false">
      <c r="A85" s="11" t="n">
        <v>72</v>
      </c>
      <c r="B85" s="11" t="n">
        <f aca="false">VLOOKUP(A85,$B$5:$L$9,11,TRUE())*$N$5</f>
        <v>4165</v>
      </c>
      <c r="C85" s="11" t="n">
        <f aca="false">C84+B85</f>
        <v>200275</v>
      </c>
    </row>
    <row r="86" customFormat="false" ht="15" hidden="false" customHeight="true" outlineLevel="0" collapsed="false">
      <c r="A86" s="11" t="n">
        <v>73</v>
      </c>
      <c r="B86" s="11" t="n">
        <f aca="false">VLOOKUP(A86,$B$5:$L$9,11,TRUE())*$N$5</f>
        <v>4165</v>
      </c>
      <c r="C86" s="11" t="n">
        <f aca="false">C85+B86</f>
        <v>204440</v>
      </c>
    </row>
    <row r="87" customFormat="false" ht="15" hidden="false" customHeight="true" outlineLevel="0" collapsed="false">
      <c r="A87" s="11" t="n">
        <v>74</v>
      </c>
      <c r="B87" s="11" t="n">
        <f aca="false">VLOOKUP(A87,$B$5:$L$9,11,TRUE())*$N$5</f>
        <v>4165</v>
      </c>
      <c r="C87" s="11" t="n">
        <f aca="false">C86+B87</f>
        <v>208605</v>
      </c>
    </row>
    <row r="88" customFormat="false" ht="15" hidden="false" customHeight="true" outlineLevel="0" collapsed="false">
      <c r="A88" s="11" t="n">
        <v>75</v>
      </c>
      <c r="B88" s="11" t="n">
        <f aca="false">VLOOKUP(A88,$B$5:$L$9,11,TRUE())*$N$5</f>
        <v>4165</v>
      </c>
      <c r="C88" s="11" t="n">
        <f aca="false">C87+B88</f>
        <v>212770</v>
      </c>
    </row>
    <row r="89" customFormat="false" ht="15" hidden="false" customHeight="true" outlineLevel="0" collapsed="false">
      <c r="A89" s="11" t="n">
        <v>76</v>
      </c>
      <c r="B89" s="11" t="n">
        <f aca="false">VLOOKUP(A89,$B$5:$L$9,11,TRUE())*$N$5</f>
        <v>4165</v>
      </c>
      <c r="C89" s="11" t="n">
        <f aca="false">C88+B89</f>
        <v>216935</v>
      </c>
    </row>
    <row r="90" customFormat="false" ht="15" hidden="false" customHeight="true" outlineLevel="0" collapsed="false">
      <c r="A90" s="11" t="n">
        <v>77</v>
      </c>
      <c r="B90" s="11" t="n">
        <f aca="false">VLOOKUP(A90,$B$5:$L$9,11,TRUE())*$N$5</f>
        <v>4165</v>
      </c>
      <c r="C90" s="11" t="n">
        <f aca="false">C89+B90</f>
        <v>221100</v>
      </c>
    </row>
    <row r="91" customFormat="false" ht="15" hidden="false" customHeight="true" outlineLevel="0" collapsed="false">
      <c r="A91" s="11" t="n">
        <v>78</v>
      </c>
      <c r="B91" s="11" t="n">
        <f aca="false">VLOOKUP(A91,$B$5:$L$9,11,TRUE())*$N$5</f>
        <v>4165</v>
      </c>
      <c r="C91" s="11" t="n">
        <f aca="false">C90+B91</f>
        <v>225265</v>
      </c>
    </row>
    <row r="92" customFormat="false" ht="15" hidden="false" customHeight="true" outlineLevel="0" collapsed="false">
      <c r="A92" s="11" t="n">
        <v>79</v>
      </c>
      <c r="B92" s="11" t="n">
        <f aca="false">VLOOKUP(A92,$B$5:$L$9,11,TRUE())*$N$5</f>
        <v>4165</v>
      </c>
      <c r="C92" s="11" t="n">
        <f aca="false">C91+B92</f>
        <v>229430</v>
      </c>
    </row>
    <row r="93" customFormat="false" ht="15" hidden="false" customHeight="true" outlineLevel="0" collapsed="false">
      <c r="A93" s="11" t="n">
        <v>80</v>
      </c>
      <c r="B93" s="11" t="n">
        <f aca="false">VLOOKUP(A93,$B$5:$L$9,11,TRUE())*$N$5</f>
        <v>4165</v>
      </c>
      <c r="C93" s="11" t="n">
        <f aca="false">C92+B93</f>
        <v>233595</v>
      </c>
    </row>
    <row r="94" customFormat="false" ht="15" hidden="false" customHeight="true" outlineLevel="0" collapsed="false">
      <c r="A94" s="11" t="n">
        <v>81</v>
      </c>
      <c r="B94" s="11" t="n">
        <f aca="false">VLOOKUP(A94,$B$5:$L$9,11,TRUE())*$N$5</f>
        <v>4165</v>
      </c>
      <c r="C94" s="11" t="n">
        <f aca="false">C93+B94</f>
        <v>237760</v>
      </c>
    </row>
    <row r="95" customFormat="false" ht="15" hidden="false" customHeight="true" outlineLevel="0" collapsed="false">
      <c r="A95" s="11" t="n">
        <v>82</v>
      </c>
      <c r="B95" s="11" t="n">
        <f aca="false">VLOOKUP(A95,$B$5:$L$9,11,TRUE())*$N$5</f>
        <v>4165</v>
      </c>
      <c r="C95" s="11" t="n">
        <f aca="false">C94+B95</f>
        <v>241925</v>
      </c>
    </row>
    <row r="96" customFormat="false" ht="15" hidden="false" customHeight="true" outlineLevel="0" collapsed="false">
      <c r="A96" s="11" t="n">
        <v>83</v>
      </c>
      <c r="B96" s="11" t="n">
        <f aca="false">VLOOKUP(A96,$B$5:$L$9,11,TRUE())*$N$5</f>
        <v>4165</v>
      </c>
      <c r="C96" s="11" t="n">
        <f aca="false">C95+B96</f>
        <v>246090</v>
      </c>
    </row>
    <row r="97" customFormat="false" ht="15" hidden="false" customHeight="true" outlineLevel="0" collapsed="false">
      <c r="A97" s="11" t="n">
        <v>84</v>
      </c>
      <c r="B97" s="11" t="n">
        <f aca="false">VLOOKUP(A97,$B$5:$L$9,11,TRUE())*$N$5</f>
        <v>4165</v>
      </c>
      <c r="C97" s="11" t="n">
        <f aca="false">C96+B97</f>
        <v>250255</v>
      </c>
    </row>
    <row r="98" customFormat="false" ht="15" hidden="false" customHeight="true" outlineLevel="0" collapsed="false">
      <c r="A98" s="11" t="n">
        <v>85</v>
      </c>
      <c r="B98" s="11" t="n">
        <f aca="false">VLOOKUP(A98,$B$5:$L$9,11,TRUE())*$N$5</f>
        <v>4165</v>
      </c>
      <c r="C98" s="11" t="n">
        <f aca="false">C97+B98</f>
        <v>254420</v>
      </c>
    </row>
    <row r="99" customFormat="false" ht="15" hidden="false" customHeight="true" outlineLevel="0" collapsed="false">
      <c r="A99" s="11" t="n">
        <v>86</v>
      </c>
      <c r="B99" s="11" t="n">
        <f aca="false">VLOOKUP(A99,$B$5:$L$9,11,TRUE())*$N$5</f>
        <v>4165</v>
      </c>
      <c r="C99" s="11" t="n">
        <f aca="false">C98+B99</f>
        <v>258585</v>
      </c>
    </row>
    <row r="100" customFormat="false" ht="15" hidden="false" customHeight="true" outlineLevel="0" collapsed="false">
      <c r="A100" s="11" t="n">
        <v>87</v>
      </c>
      <c r="B100" s="11" t="n">
        <f aca="false">VLOOKUP(A100,$B$5:$L$9,11,TRUE())*$N$5</f>
        <v>4165</v>
      </c>
      <c r="C100" s="11" t="n">
        <f aca="false">C99+B100</f>
        <v>262750</v>
      </c>
    </row>
    <row r="101" customFormat="false" ht="15" hidden="false" customHeight="true" outlineLevel="0" collapsed="false">
      <c r="A101" s="11" t="n">
        <v>88</v>
      </c>
      <c r="B101" s="11" t="n">
        <f aca="false">VLOOKUP(A101,$B$5:$L$9,11,TRUE())*$N$5</f>
        <v>4165</v>
      </c>
      <c r="C101" s="11" t="n">
        <f aca="false">C100+B101</f>
        <v>266915</v>
      </c>
    </row>
    <row r="102" customFormat="false" ht="15" hidden="false" customHeight="true" outlineLevel="0" collapsed="false">
      <c r="A102" s="11" t="n">
        <v>89</v>
      </c>
      <c r="B102" s="11" t="n">
        <f aca="false">VLOOKUP(A102,$B$5:$L$9,11,TRUE())*$N$5</f>
        <v>4165</v>
      </c>
      <c r="C102" s="11" t="n">
        <f aca="false">C101+B102</f>
        <v>271080</v>
      </c>
    </row>
    <row r="103" customFormat="false" ht="15" hidden="false" customHeight="true" outlineLevel="0" collapsed="false">
      <c r="A103" s="11" t="n">
        <v>90</v>
      </c>
      <c r="B103" s="11" t="n">
        <f aca="false">VLOOKUP(A103,$B$5:$L$9,11,TRUE())*$N$5</f>
        <v>4165</v>
      </c>
      <c r="C103" s="11" t="n">
        <f aca="false">C102+B103</f>
        <v>275245</v>
      </c>
    </row>
    <row r="104" customFormat="false" ht="15" hidden="false" customHeight="true" outlineLevel="0" collapsed="false">
      <c r="A104" s="11" t="n">
        <v>91</v>
      </c>
      <c r="B104" s="11" t="n">
        <f aca="false">VLOOKUP(A104,$B$5:$L$9,11,TRUE())*$N$5</f>
        <v>4165</v>
      </c>
      <c r="C104" s="11" t="n">
        <f aca="false">C103+B104</f>
        <v>279410</v>
      </c>
    </row>
    <row r="105" customFormat="false" ht="15" hidden="false" customHeight="true" outlineLevel="0" collapsed="false">
      <c r="A105" s="11" t="n">
        <v>92</v>
      </c>
      <c r="B105" s="11" t="n">
        <f aca="false">VLOOKUP(A105,$B$5:$L$9,11,TRUE())*$N$5</f>
        <v>4165</v>
      </c>
      <c r="C105" s="11" t="n">
        <f aca="false">C104+B105</f>
        <v>283575</v>
      </c>
    </row>
    <row r="106" customFormat="false" ht="15" hidden="false" customHeight="true" outlineLevel="0" collapsed="false">
      <c r="A106" s="11" t="n">
        <v>93</v>
      </c>
      <c r="B106" s="11" t="n">
        <f aca="false">VLOOKUP(A106,$B$5:$L$9,11,TRUE())*$N$5</f>
        <v>4165</v>
      </c>
      <c r="C106" s="11" t="n">
        <f aca="false">C105+B106</f>
        <v>287740</v>
      </c>
    </row>
    <row r="107" customFormat="false" ht="15" hidden="false" customHeight="true" outlineLevel="0" collapsed="false">
      <c r="A107" s="11" t="n">
        <v>94</v>
      </c>
      <c r="B107" s="11" t="n">
        <f aca="false">VLOOKUP(A107,$B$5:$L$9,11,TRUE())*$N$5</f>
        <v>4165</v>
      </c>
      <c r="C107" s="11" t="n">
        <f aca="false">C106+B107</f>
        <v>291905</v>
      </c>
    </row>
    <row r="108" customFormat="false" ht="15" hidden="false" customHeight="true" outlineLevel="0" collapsed="false">
      <c r="A108" s="11" t="n">
        <v>95</v>
      </c>
      <c r="B108" s="11" t="n">
        <f aca="false">VLOOKUP(A108,$B$5:$L$9,11,TRUE())*$N$5</f>
        <v>4165</v>
      </c>
      <c r="C108" s="11" t="n">
        <f aca="false">C107+B108</f>
        <v>296070</v>
      </c>
    </row>
    <row r="109" customFormat="false" ht="15" hidden="false" customHeight="true" outlineLevel="0" collapsed="false">
      <c r="A109" s="11" t="n">
        <v>96</v>
      </c>
      <c r="B109" s="11" t="n">
        <f aca="false">VLOOKUP(A109,$B$5:$L$9,11,TRUE())*$N$5</f>
        <v>4165</v>
      </c>
      <c r="C109" s="11" t="n">
        <f aca="false">C108+B109</f>
        <v>300235</v>
      </c>
    </row>
    <row r="110" customFormat="false" ht="15" hidden="false" customHeight="true" outlineLevel="0" collapsed="false">
      <c r="A110" s="11" t="n">
        <v>97</v>
      </c>
      <c r="B110" s="11" t="n">
        <f aca="false">VLOOKUP(A110,$B$5:$L$9,11,TRUE())*$N$5</f>
        <v>4165</v>
      </c>
      <c r="C110" s="11" t="n">
        <f aca="false">C109+B110</f>
        <v>304400</v>
      </c>
    </row>
    <row r="111" customFormat="false" ht="15" hidden="false" customHeight="true" outlineLevel="0" collapsed="false">
      <c r="A111" s="11" t="n">
        <v>98</v>
      </c>
      <c r="B111" s="11" t="n">
        <f aca="false">VLOOKUP(A111,$B$5:$L$9,11,TRUE())*$N$5</f>
        <v>4165</v>
      </c>
      <c r="C111" s="11" t="n">
        <f aca="false">C110+B111</f>
        <v>308565</v>
      </c>
    </row>
    <row r="112" customFormat="false" ht="15" hidden="false" customHeight="true" outlineLevel="0" collapsed="false">
      <c r="A112" s="11" t="n">
        <v>99</v>
      </c>
      <c r="B112" s="11" t="n">
        <f aca="false">VLOOKUP(A112,$B$5:$L$9,11,TRUE())*$N$5</f>
        <v>4165</v>
      </c>
      <c r="C112" s="11" t="n">
        <f aca="false">C111+B112</f>
        <v>312730</v>
      </c>
    </row>
    <row r="113" customFormat="false" ht="15" hidden="false" customHeight="true" outlineLevel="0" collapsed="false">
      <c r="A113" s="11" t="n">
        <v>100</v>
      </c>
      <c r="B113" s="11" t="n">
        <f aca="false">VLOOKUP(A113,$B$5:$L$9,11,TRUE())*$N$5</f>
        <v>4165</v>
      </c>
      <c r="C113" s="11" t="n">
        <f aca="false">C112+B113</f>
        <v>316895</v>
      </c>
    </row>
    <row r="114" customFormat="false" ht="15" hidden="false" customHeight="true" outlineLevel="0" collapsed="false">
      <c r="A114" s="11" t="n">
        <v>101</v>
      </c>
      <c r="B114" s="11" t="n">
        <f aca="false">VLOOKUP(A114,$B$5:$L$9,11,TRUE())*$N$5</f>
        <v>4165</v>
      </c>
      <c r="C114" s="11" t="n">
        <f aca="false">C113+B114</f>
        <v>321060</v>
      </c>
    </row>
    <row r="115" customFormat="false" ht="15" hidden="false" customHeight="true" outlineLevel="0" collapsed="false">
      <c r="A115" s="11" t="n">
        <v>102</v>
      </c>
      <c r="B115" s="11" t="n">
        <f aca="false">VLOOKUP(A115,$B$5:$L$9,11,TRUE())*$N$5</f>
        <v>4165</v>
      </c>
      <c r="C115" s="11" t="n">
        <f aca="false">C114+B115</f>
        <v>325225</v>
      </c>
    </row>
    <row r="116" customFormat="false" ht="15" hidden="false" customHeight="true" outlineLevel="0" collapsed="false">
      <c r="A116" s="11" t="n">
        <v>103</v>
      </c>
      <c r="B116" s="11" t="n">
        <f aca="false">VLOOKUP(A116,$B$5:$L$9,11,TRUE())*$N$5</f>
        <v>4165</v>
      </c>
      <c r="C116" s="11" t="n">
        <f aca="false">C115+B116</f>
        <v>329390</v>
      </c>
    </row>
    <row r="117" customFormat="false" ht="15" hidden="false" customHeight="true" outlineLevel="0" collapsed="false">
      <c r="A117" s="11" t="n">
        <v>104</v>
      </c>
      <c r="B117" s="11" t="n">
        <f aca="false">VLOOKUP(A117,$B$5:$L$9,11,TRUE())*$N$5</f>
        <v>4165</v>
      </c>
      <c r="C117" s="11" t="n">
        <f aca="false">C116+B117</f>
        <v>333555</v>
      </c>
    </row>
    <row r="118" customFormat="false" ht="15" hidden="false" customHeight="true" outlineLevel="0" collapsed="false">
      <c r="A118" s="11" t="n">
        <v>105</v>
      </c>
      <c r="B118" s="11" t="n">
        <f aca="false">VLOOKUP(A118,$B$5:$L$9,11,TRUE())*$N$5</f>
        <v>4165</v>
      </c>
      <c r="C118" s="11" t="n">
        <f aca="false">C117+B118</f>
        <v>337720</v>
      </c>
    </row>
    <row r="119" customFormat="false" ht="15" hidden="false" customHeight="true" outlineLevel="0" collapsed="false">
      <c r="A119" s="11" t="n">
        <v>106</v>
      </c>
      <c r="B119" s="11" t="n">
        <f aca="false">VLOOKUP(A119,$B$5:$L$9,11,TRUE())*$N$5</f>
        <v>4165</v>
      </c>
      <c r="C119" s="11" t="n">
        <f aca="false">C118+B119</f>
        <v>341885</v>
      </c>
    </row>
    <row r="120" customFormat="false" ht="15" hidden="false" customHeight="true" outlineLevel="0" collapsed="false">
      <c r="A120" s="11" t="n">
        <v>107</v>
      </c>
      <c r="B120" s="11" t="n">
        <f aca="false">VLOOKUP(A120,$B$5:$L$9,11,TRUE())*$N$5</f>
        <v>4165</v>
      </c>
      <c r="C120" s="11" t="n">
        <f aca="false">C119+B120</f>
        <v>346050</v>
      </c>
    </row>
    <row r="121" customFormat="false" ht="15" hidden="false" customHeight="true" outlineLevel="0" collapsed="false">
      <c r="A121" s="11" t="n">
        <v>108</v>
      </c>
      <c r="B121" s="11" t="n">
        <f aca="false">VLOOKUP(A121,$B$5:$L$9,11,TRUE())*$N$5</f>
        <v>4165</v>
      </c>
      <c r="C121" s="11" t="n">
        <f aca="false">C120+B121</f>
        <v>350215</v>
      </c>
    </row>
    <row r="122" customFormat="false" ht="15" hidden="false" customHeight="true" outlineLevel="0" collapsed="false">
      <c r="A122" s="11" t="n">
        <v>109</v>
      </c>
      <c r="B122" s="11" t="n">
        <f aca="false">VLOOKUP(A122,$B$5:$L$9,11,TRUE())*$N$5</f>
        <v>4165</v>
      </c>
      <c r="C122" s="11" t="n">
        <f aca="false">C121+B122</f>
        <v>354380</v>
      </c>
    </row>
    <row r="123" customFormat="false" ht="15" hidden="false" customHeight="true" outlineLevel="0" collapsed="false">
      <c r="A123" s="11" t="n">
        <v>110</v>
      </c>
      <c r="B123" s="11" t="n">
        <f aca="false">VLOOKUP(A123,$B$5:$L$9,11,TRUE())*$N$5</f>
        <v>4165</v>
      </c>
      <c r="C123" s="11" t="n">
        <f aca="false">C122+B123</f>
        <v>358545</v>
      </c>
    </row>
    <row r="124" customFormat="false" ht="15" hidden="false" customHeight="true" outlineLevel="0" collapsed="false">
      <c r="A124" s="11" t="n">
        <v>111</v>
      </c>
      <c r="B124" s="11" t="n">
        <f aca="false">VLOOKUP(A124,$B$5:$L$9,11,TRUE())*$N$5</f>
        <v>4165</v>
      </c>
      <c r="C124" s="11" t="n">
        <f aca="false">C123+B124</f>
        <v>362710</v>
      </c>
    </row>
    <row r="125" customFormat="false" ht="15" hidden="false" customHeight="true" outlineLevel="0" collapsed="false">
      <c r="A125" s="11" t="n">
        <v>112</v>
      </c>
      <c r="B125" s="11" t="n">
        <f aca="false">VLOOKUP(A125,$B$5:$L$9,11,TRUE())*$N$5</f>
        <v>4165</v>
      </c>
      <c r="C125" s="11" t="n">
        <f aca="false">C124+B125</f>
        <v>366875</v>
      </c>
    </row>
    <row r="126" customFormat="false" ht="15" hidden="false" customHeight="true" outlineLevel="0" collapsed="false">
      <c r="A126" s="11" t="n">
        <v>113</v>
      </c>
      <c r="B126" s="11" t="n">
        <f aca="false">VLOOKUP(A126,$B$5:$L$9,11,TRUE())*$N$5</f>
        <v>4165</v>
      </c>
      <c r="C126" s="11" t="n">
        <f aca="false">C125+B126</f>
        <v>371040</v>
      </c>
    </row>
    <row r="127" customFormat="false" ht="15" hidden="false" customHeight="true" outlineLevel="0" collapsed="false">
      <c r="A127" s="11" t="n">
        <v>114</v>
      </c>
      <c r="B127" s="11" t="n">
        <f aca="false">VLOOKUP(A127,$B$5:$L$9,11,TRUE())*$N$5</f>
        <v>4165</v>
      </c>
      <c r="C127" s="11" t="n">
        <f aca="false">C126+B127</f>
        <v>375205</v>
      </c>
    </row>
    <row r="128" customFormat="false" ht="15" hidden="false" customHeight="true" outlineLevel="0" collapsed="false">
      <c r="A128" s="11" t="n">
        <v>115</v>
      </c>
      <c r="B128" s="11" t="n">
        <f aca="false">VLOOKUP(A128,$B$5:$L$9,11,TRUE())*$N$5</f>
        <v>4165</v>
      </c>
      <c r="C128" s="11" t="n">
        <f aca="false">C127+B128</f>
        <v>379370</v>
      </c>
    </row>
    <row r="129" customFormat="false" ht="15" hidden="false" customHeight="true" outlineLevel="0" collapsed="false">
      <c r="A129" s="11" t="n">
        <v>116</v>
      </c>
      <c r="B129" s="11" t="n">
        <f aca="false">VLOOKUP(A129,$B$5:$L$9,11,TRUE())*$N$5</f>
        <v>4165</v>
      </c>
      <c r="C129" s="11" t="n">
        <f aca="false">C128+B129</f>
        <v>383535</v>
      </c>
    </row>
    <row r="130" customFormat="false" ht="15" hidden="false" customHeight="true" outlineLevel="0" collapsed="false">
      <c r="A130" s="11" t="n">
        <v>117</v>
      </c>
      <c r="B130" s="11" t="n">
        <f aca="false">VLOOKUP(A130,$B$5:$L$9,11,TRUE())*$N$5</f>
        <v>4165</v>
      </c>
      <c r="C130" s="11" t="n">
        <f aca="false">C129+B130</f>
        <v>387700</v>
      </c>
    </row>
    <row r="131" customFormat="false" ht="15" hidden="false" customHeight="true" outlineLevel="0" collapsed="false">
      <c r="A131" s="11" t="n">
        <v>118</v>
      </c>
      <c r="B131" s="11" t="n">
        <f aca="false">VLOOKUP(A131,$B$5:$L$9,11,TRUE())*$N$5</f>
        <v>4165</v>
      </c>
      <c r="C131" s="11" t="n">
        <f aca="false">C130+B131</f>
        <v>391865</v>
      </c>
    </row>
    <row r="132" customFormat="false" ht="15" hidden="false" customHeight="true" outlineLevel="0" collapsed="false">
      <c r="A132" s="11" t="n">
        <v>119</v>
      </c>
      <c r="B132" s="11" t="n">
        <f aca="false">VLOOKUP(A132,$B$5:$L$9,11,TRUE())*$N$5</f>
        <v>4165</v>
      </c>
      <c r="C132" s="11" t="n">
        <f aca="false">C131+B132</f>
        <v>396030</v>
      </c>
    </row>
    <row r="133" customFormat="false" ht="15" hidden="false" customHeight="true" outlineLevel="0" collapsed="false">
      <c r="A133" s="11" t="n">
        <v>120</v>
      </c>
      <c r="B133" s="11" t="n">
        <f aca="false">VLOOKUP(A133,$B$5:$L$9,11,TRUE())*$N$5</f>
        <v>4165</v>
      </c>
      <c r="C133" s="11" t="n">
        <f aca="false">C132+B133</f>
        <v>400195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4"/>
    <col collapsed="false" customWidth="true" hidden="false" outlineLevel="0" max="4" min="4" style="1" width="18"/>
    <col collapsed="false" customWidth="true" hidden="false" outlineLevel="0" max="5" min="5" style="1" width="15"/>
    <col collapsed="false" customWidth="true" hidden="false" outlineLevel="0" max="6" min="6" style="1" width="12"/>
    <col collapsed="false" customWidth="true" hidden="false" outlineLevel="0" max="7" min="7" style="1" width="15"/>
    <col collapsed="false" customWidth="true" hidden="false" outlineLevel="0" max="8" min="8" style="1" width="9"/>
    <col collapsed="false" customWidth="true" hidden="false" outlineLevel="0" max="10" min="9" style="1" width="16"/>
    <col collapsed="false" customWidth="true" hidden="false" outlineLevel="0" max="11" min="11" style="1" width="12"/>
  </cols>
  <sheetData>
    <row r="1" customFormat="false" ht="15" hidden="false" customHeight="true" outlineLevel="0" collapsed="false">
      <c r="A1" s="2" t="s">
        <v>155</v>
      </c>
    </row>
    <row r="3" customFormat="false" ht="26.25" hidden="false" customHeight="true" outlineLevel="0" collapsed="false">
      <c r="A3" s="5" t="s">
        <v>88</v>
      </c>
      <c r="B3" s="5" t="s">
        <v>89</v>
      </c>
      <c r="C3" s="5" t="s">
        <v>156</v>
      </c>
      <c r="D3" s="5" t="s">
        <v>157</v>
      </c>
      <c r="E3" s="5" t="s">
        <v>158</v>
      </c>
      <c r="F3" s="5" t="s">
        <v>159</v>
      </c>
      <c r="G3" s="5" t="s">
        <v>160</v>
      </c>
      <c r="H3" s="5" t="s">
        <v>161</v>
      </c>
      <c r="I3" s="5" t="s">
        <v>92</v>
      </c>
      <c r="J3" s="5" t="s">
        <v>162</v>
      </c>
      <c r="K3" s="5" t="s">
        <v>163</v>
      </c>
    </row>
    <row r="4" customFormat="false" ht="15" hidden="false" customHeight="true" outlineLevel="0" collapsed="false">
      <c r="A4" s="17" t="str">
        <f aca="false">Params!A26</f>
        <v>P1</v>
      </c>
      <c r="B4" s="16" t="n">
        <f aca="false">Params!B26</f>
        <v>500000</v>
      </c>
      <c r="C4" s="16" t="n">
        <f aca="false">Params!C26</f>
        <v>85</v>
      </c>
      <c r="D4" s="16" t="n">
        <f aca="false">Params!D26</f>
        <v>60000</v>
      </c>
      <c r="E4" s="9" t="n">
        <f aca="false">B4/D4</f>
        <v>8.33333333333333</v>
      </c>
      <c r="F4" s="3" t="str">
        <f aca="false">IF(C4&gt;=E4,"RANK","PELLETS")</f>
        <v>RANK</v>
      </c>
      <c r="G4" s="9" t="n">
        <f aca="false">MAX(C4,E4)</f>
        <v>85</v>
      </c>
      <c r="H4" s="3" t="str">
        <f aca="false">IF(G4&lt;=120,"OK","EXCEEDS")</f>
        <v>OK</v>
      </c>
      <c r="I4" s="16" t="n">
        <f aca="false">Params!E26</f>
        <v>500000</v>
      </c>
      <c r="J4" s="9" t="n">
        <f aca="false">MAX(C4,I4/D4)</f>
        <v>85</v>
      </c>
      <c r="K4" s="3" t="str">
        <f aca="false">IF(J4&lt;=120,"OK","EXCEEDS")</f>
        <v>OK</v>
      </c>
    </row>
    <row r="5" customFormat="false" ht="15" hidden="false" customHeight="true" outlineLevel="0" collapsed="false">
      <c r="A5" s="17" t="str">
        <f aca="false">Params!A27</f>
        <v>P2</v>
      </c>
      <c r="B5" s="16" t="n">
        <f aca="false">Params!B27</f>
        <v>1500000</v>
      </c>
      <c r="C5" s="16" t="n">
        <f aca="false">Params!C27</f>
        <v>72</v>
      </c>
      <c r="D5" s="16" t="n">
        <f aca="false">Params!D27</f>
        <v>90000</v>
      </c>
      <c r="E5" s="9" t="n">
        <f aca="false">B5/D5</f>
        <v>16.6666666666667</v>
      </c>
      <c r="F5" s="3" t="str">
        <f aca="false">IF(C5&gt;=E5,"RANK","PELLETS")</f>
        <v>RANK</v>
      </c>
      <c r="G5" s="9" t="n">
        <f aca="false">MAX(C5,E5)</f>
        <v>72</v>
      </c>
      <c r="H5" s="3" t="str">
        <f aca="false">IF(G5&lt;=120,"OK","EXCEEDS")</f>
        <v>OK</v>
      </c>
      <c r="I5" s="16" t="n">
        <f aca="false">Params!E27</f>
        <v>1500000</v>
      </c>
      <c r="J5" s="9" t="n">
        <f aca="false">MAX(C5,I5/D5)</f>
        <v>72</v>
      </c>
      <c r="K5" s="3" t="str">
        <f aca="false">IF(J5&lt;=120,"OK","EXCEEDS")</f>
        <v>OK</v>
      </c>
    </row>
    <row r="6" customFormat="false" ht="15" hidden="false" customHeight="true" outlineLevel="0" collapsed="false">
      <c r="A6" s="17" t="str">
        <f aca="false">Params!A28</f>
        <v>P3</v>
      </c>
      <c r="B6" s="16" t="n">
        <f aca="false">Params!B28</f>
        <v>4000000</v>
      </c>
      <c r="C6" s="16" t="n">
        <f aca="false">Params!C28</f>
        <v>68</v>
      </c>
      <c r="D6" s="16" t="n">
        <f aca="false">Params!D28</f>
        <v>130000</v>
      </c>
      <c r="E6" s="9" t="n">
        <f aca="false">B6/D6</f>
        <v>30.7692307692308</v>
      </c>
      <c r="F6" s="3" t="str">
        <f aca="false">IF(C6&gt;=E6,"RANK","PELLETS")</f>
        <v>RANK</v>
      </c>
      <c r="G6" s="9" t="n">
        <f aca="false">MAX(C6,E6)</f>
        <v>68</v>
      </c>
      <c r="H6" s="3" t="str">
        <f aca="false">IF(G6&lt;=120,"OK","EXCEEDS")</f>
        <v>OK</v>
      </c>
      <c r="I6" s="16" t="n">
        <f aca="false">Params!E28</f>
        <v>4000000</v>
      </c>
      <c r="J6" s="9" t="n">
        <f aca="false">MAX(C6,I6/D6)</f>
        <v>68</v>
      </c>
      <c r="K6" s="3" t="str">
        <f aca="false">IF(J6&lt;=120,"OK","EXCEEDS")</f>
        <v>OK</v>
      </c>
    </row>
    <row r="7" customFormat="false" ht="15" hidden="false" customHeight="true" outlineLevel="0" collapsed="false">
      <c r="A7" s="17" t="str">
        <f aca="false">Params!A29</f>
        <v>P4</v>
      </c>
      <c r="B7" s="16" t="n">
        <f aca="false">Params!B29</f>
        <v>10000000</v>
      </c>
      <c r="C7" s="16" t="n">
        <f aca="false">Params!C29</f>
        <v>62</v>
      </c>
      <c r="D7" s="16" t="n">
        <f aca="false">Params!D29</f>
        <v>200000</v>
      </c>
      <c r="E7" s="9" t="n">
        <f aca="false">B7/D7</f>
        <v>50</v>
      </c>
      <c r="F7" s="3" t="str">
        <f aca="false">IF(C7&gt;=E7,"RANK","PELLETS")</f>
        <v>RANK</v>
      </c>
      <c r="G7" s="9" t="n">
        <f aca="false">MAX(C7,E7)</f>
        <v>62</v>
      </c>
      <c r="H7" s="3" t="str">
        <f aca="false">IF(G7&lt;=120,"OK","EXCEEDS")</f>
        <v>OK</v>
      </c>
      <c r="I7" s="16" t="n">
        <f aca="false">Params!E29</f>
        <v>10000000</v>
      </c>
      <c r="J7" s="9" t="n">
        <f aca="false">MAX(C7,I7/D7)</f>
        <v>62</v>
      </c>
      <c r="K7" s="3" t="str">
        <f aca="false">IF(J7&lt;=120,"OK","EXCEEDS")</f>
        <v>OK</v>
      </c>
    </row>
    <row r="8" customFormat="false" ht="15" hidden="false" customHeight="true" outlineLevel="0" collapsed="false">
      <c r="A8" s="17" t="str">
        <f aca="false">Params!A30</f>
        <v>P5</v>
      </c>
      <c r="B8" s="16" t="n">
        <f aca="false">Params!B30</f>
        <v>25000000</v>
      </c>
      <c r="C8" s="16" t="n">
        <f aca="false">Params!C30</f>
        <v>58</v>
      </c>
      <c r="D8" s="16" t="n">
        <f aca="false">Params!D30</f>
        <v>300000</v>
      </c>
      <c r="E8" s="9" t="n">
        <f aca="false">B8/D8</f>
        <v>83.3333333333333</v>
      </c>
      <c r="F8" s="3" t="str">
        <f aca="false">IF(C8&gt;=E8,"RANK","PELLETS")</f>
        <v>PELLETS</v>
      </c>
      <c r="G8" s="9" t="n">
        <f aca="false">MAX(C8,E8)</f>
        <v>83.3333333333333</v>
      </c>
      <c r="H8" s="3" t="str">
        <f aca="false">IF(G8&lt;=120,"OK","EXCEEDS")</f>
        <v>OK</v>
      </c>
      <c r="I8" s="16" t="n">
        <f aca="false">Params!E30</f>
        <v>25000000</v>
      </c>
      <c r="J8" s="9" t="n">
        <f aca="false">MAX(C8,I8/D8)</f>
        <v>83.3333333333333</v>
      </c>
      <c r="K8" s="3" t="str">
        <f aca="false">IF(J8&lt;=120,"OK","EXCEEDS")</f>
        <v>OK</v>
      </c>
    </row>
    <row r="9" customFormat="false" ht="15" hidden="false" customHeight="true" outlineLevel="0" collapsed="false">
      <c r="A9" s="17" t="str">
        <f aca="false">Params!A31</f>
        <v>P6</v>
      </c>
      <c r="B9" s="16" t="n">
        <f aca="false">Params!B31</f>
        <v>45000000</v>
      </c>
      <c r="C9" s="16" t="n">
        <f aca="false">Params!C31</f>
        <v>54</v>
      </c>
      <c r="D9" s="16" t="n">
        <f aca="false">Params!D31</f>
        <v>420000</v>
      </c>
      <c r="E9" s="9" t="n">
        <f aca="false">B9/D9</f>
        <v>107.142857142857</v>
      </c>
      <c r="F9" s="3" t="str">
        <f aca="false">IF(C9&gt;=E9,"RANK","PELLETS")</f>
        <v>PELLETS</v>
      </c>
      <c r="G9" s="9" t="n">
        <f aca="false">MAX(C9,E9)</f>
        <v>107.142857142857</v>
      </c>
      <c r="H9" s="3" t="str">
        <f aca="false">IF(G9&lt;=120,"OK","EXCEEDS")</f>
        <v>OK</v>
      </c>
      <c r="I9" s="16" t="n">
        <f aca="false">Params!E31</f>
        <v>50000000</v>
      </c>
      <c r="J9" s="9" t="n">
        <f aca="false">MAX(C9,I9/D9)</f>
        <v>119.047619047619</v>
      </c>
      <c r="K9" s="3" t="str">
        <f aca="false">IF(J9&lt;=120,"OK","EXCEEDS")</f>
        <v>OK</v>
      </c>
    </row>
    <row r="10" customFormat="false" ht="15" hidden="false" customHeight="true" outlineLevel="0" collapsed="false">
      <c r="A10" s="17" t="str">
        <f aca="false">Params!A32</f>
        <v>P7</v>
      </c>
      <c r="B10" s="16" t="n">
        <f aca="false">Params!B32</f>
        <v>60000000</v>
      </c>
      <c r="C10" s="16" t="n">
        <f aca="false">Params!C32</f>
        <v>52</v>
      </c>
      <c r="D10" s="16" t="n">
        <f aca="false">Params!D32</f>
        <v>550000</v>
      </c>
      <c r="E10" s="9" t="n">
        <f aca="false">B10/D10</f>
        <v>109.090909090909</v>
      </c>
      <c r="F10" s="3" t="str">
        <f aca="false">IF(C10&gt;=E10,"RANK","PELLETS")</f>
        <v>PELLETS</v>
      </c>
      <c r="G10" s="9" t="n">
        <f aca="false">MAX(C10,E10)</f>
        <v>109.090909090909</v>
      </c>
      <c r="H10" s="3" t="str">
        <f aca="false">IF(G10&lt;=120,"OK","EXCEEDS")</f>
        <v>OK</v>
      </c>
      <c r="I10" s="16" t="n">
        <f aca="false">Params!E32</f>
        <v>80000000</v>
      </c>
      <c r="J10" s="9" t="n">
        <f aca="false">MAX(C10,I10/D10)</f>
        <v>145.454545454545</v>
      </c>
      <c r="K10" s="3" t="str">
        <f aca="false">IF(J10&lt;=120,"OK","EXCEEDS")</f>
        <v>EXCEEDS</v>
      </c>
    </row>
    <row r="11" customFormat="false" ht="15" hidden="false" customHeight="true" outlineLevel="0" collapsed="false">
      <c r="A11" s="17" t="str">
        <f aca="false">Params!A33</f>
        <v>P8</v>
      </c>
      <c r="B11" s="16" t="n">
        <f aca="false">Params!B33</f>
        <v>75000000</v>
      </c>
      <c r="C11" s="16" t="n">
        <f aca="false">Params!C33</f>
        <v>50</v>
      </c>
      <c r="D11" s="16" t="n">
        <f aca="false">Params!D33</f>
        <v>650000</v>
      </c>
      <c r="E11" s="9" t="n">
        <f aca="false">B11/D11</f>
        <v>115.384615384615</v>
      </c>
      <c r="F11" s="3" t="str">
        <f aca="false">IF(C11&gt;=E11,"RANK","PELLETS")</f>
        <v>PELLETS</v>
      </c>
      <c r="G11" s="9" t="n">
        <f aca="false">MAX(C11,E11)</f>
        <v>115.384615384615</v>
      </c>
      <c r="H11" s="3" t="str">
        <f aca="false">IF(G11&lt;=120,"OK","EXCEEDS")</f>
        <v>OK</v>
      </c>
      <c r="I11" s="16" t="n">
        <f aca="false">Params!E33</f>
        <v>128000000</v>
      </c>
      <c r="J11" s="9" t="n">
        <f aca="false">MAX(C11,I11/D11)</f>
        <v>196.923076923077</v>
      </c>
      <c r="K11" s="3" t="str">
        <f aca="false">IF(J11&lt;=120,"OK","EXCEEDS")</f>
        <v>EXCEEDS</v>
      </c>
    </row>
    <row r="12" customFormat="false" ht="15" hidden="false" customHeight="true" outlineLevel="0" collapsed="false">
      <c r="A12" s="17" t="str">
        <f aca="false">Params!A34</f>
        <v>P9</v>
      </c>
      <c r="B12" s="16" t="n">
        <f aca="false">Params!B34</f>
        <v>93750000</v>
      </c>
      <c r="C12" s="16" t="n">
        <f aca="false">Params!C34</f>
        <v>49</v>
      </c>
      <c r="D12" s="16" t="n">
        <f aca="false">Params!D34</f>
        <v>720000</v>
      </c>
      <c r="E12" s="9" t="n">
        <f aca="false">B12/D12</f>
        <v>130.208333333333</v>
      </c>
      <c r="F12" s="3" t="str">
        <f aca="false">IF(C12&gt;=E12,"RANK","PELLETS")</f>
        <v>PELLETS</v>
      </c>
      <c r="G12" s="9" t="n">
        <f aca="false">MAX(C12,E12)</f>
        <v>130.208333333333</v>
      </c>
      <c r="H12" s="3" t="str">
        <f aca="false">IF(G12&lt;=120,"OK","EXCEEDS")</f>
        <v>EXCEEDS</v>
      </c>
      <c r="I12" s="16" t="n">
        <f aca="false">Params!E34</f>
        <v>204800000</v>
      </c>
      <c r="J12" s="9" t="n">
        <f aca="false">MAX(C12,I12/D12)</f>
        <v>284.444444444444</v>
      </c>
      <c r="K12" s="3" t="str">
        <f aca="false">IF(J12&lt;=120,"OK","EXCEEDS")</f>
        <v>EXCEEDS</v>
      </c>
    </row>
    <row r="13" customFormat="false" ht="15" hidden="false" customHeight="true" outlineLevel="0" collapsed="false">
      <c r="A13" s="17" t="str">
        <f aca="false">Params!A35</f>
        <v>P10</v>
      </c>
      <c r="B13" s="16" t="n">
        <f aca="false">Params!B35</f>
        <v>117187500</v>
      </c>
      <c r="C13" s="16" t="n">
        <f aca="false">Params!C35</f>
        <v>48</v>
      </c>
      <c r="D13" s="16" t="n">
        <f aca="false">Params!D35</f>
        <v>790000</v>
      </c>
      <c r="E13" s="9" t="n">
        <f aca="false">B13/D13</f>
        <v>148.338607594937</v>
      </c>
      <c r="F13" s="3" t="str">
        <f aca="false">IF(C13&gt;=E13,"RANK","PELLETS")</f>
        <v>PELLETS</v>
      </c>
      <c r="G13" s="9" t="n">
        <f aca="false">MAX(C13,E13)</f>
        <v>148.338607594937</v>
      </c>
      <c r="H13" s="3" t="str">
        <f aca="false">IF(G13&lt;=120,"OK","EXCEEDS")</f>
        <v>EXCEEDS</v>
      </c>
      <c r="I13" s="16" t="n">
        <f aca="false">Params!E35</f>
        <v>327680000</v>
      </c>
      <c r="J13" s="9" t="n">
        <f aca="false">MAX(C13,I13/D13)</f>
        <v>414.784810126582</v>
      </c>
      <c r="K13" s="3" t="str">
        <f aca="false">IF(J13&lt;=120,"OK","EXCEEDS")</f>
        <v>EXCEEDS</v>
      </c>
    </row>
    <row r="15" customFormat="false" ht="15" hidden="false" customHeight="true" outlineLevel="0" collapsed="false">
      <c r="A15" s="19" t="s">
        <v>164</v>
      </c>
    </row>
    <row r="16" customFormat="false" ht="267.75" hidden="false" customHeight="true" outlineLevel="0" collapsed="false">
      <c r="A16" s="20" t="s">
        <v>165</v>
      </c>
    </row>
    <row r="17" customFormat="false" ht="293.25" hidden="false" customHeight="true" outlineLevel="0" collapsed="false">
      <c r="A17" s="20" t="s">
        <v>166</v>
      </c>
    </row>
    <row r="18" customFormat="false" ht="15" hidden="false" customHeight="true" outlineLevel="0" collapsed="false">
      <c r="A18" s="12" t="s">
        <v>167</v>
      </c>
    </row>
    <row r="19" customFormat="false" ht="15" hidden="false" customHeight="true" outlineLevel="0" collapsed="false">
      <c r="A19" s="4"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3" min="2" style="1" width="18"/>
    <col collapsed="false" customWidth="true" hidden="false" outlineLevel="0" max="4" min="4" style="1" width="11"/>
    <col collapsed="false" customWidth="true" hidden="false" outlineLevel="0" max="5" min="5" style="1" width="9"/>
    <col collapsed="false" customWidth="true" hidden="false" outlineLevel="0" max="6" min="6" style="1" width="14"/>
    <col collapsed="false" customWidth="true" hidden="false" outlineLevel="0" max="7" min="7" style="1" width="16"/>
    <col collapsed="false" customWidth="true" hidden="false" outlineLevel="0" max="9" min="8" style="1" width="15"/>
  </cols>
  <sheetData>
    <row r="1" customFormat="false" ht="15" hidden="false" customHeight="true" outlineLevel="0" collapsed="false">
      <c r="A1" s="2" t="s">
        <v>169</v>
      </c>
    </row>
    <row r="3" customFormat="false" ht="26.25" hidden="false" customHeight="true" outlineLevel="0" collapsed="false">
      <c r="A3" s="5" t="s">
        <v>128</v>
      </c>
      <c r="B3" s="5" t="s">
        <v>170</v>
      </c>
      <c r="C3" s="5" t="s">
        <v>171</v>
      </c>
      <c r="D3" s="5" t="s">
        <v>136</v>
      </c>
      <c r="E3" s="5" t="s">
        <v>172</v>
      </c>
      <c r="F3" s="5" t="s">
        <v>173</v>
      </c>
      <c r="G3" s="5" t="s">
        <v>174</v>
      </c>
      <c r="H3" s="5" t="s">
        <v>175</v>
      </c>
      <c r="I3" s="5" t="s">
        <v>176</v>
      </c>
    </row>
    <row r="4" customFormat="false" ht="15" hidden="false" customHeight="true" outlineLevel="0" collapsed="false">
      <c r="A4" s="3" t="s">
        <v>177</v>
      </c>
      <c r="B4" s="6" t="n">
        <v>3500</v>
      </c>
      <c r="C4" s="6" t="n">
        <v>1500</v>
      </c>
      <c r="D4" s="6" t="n">
        <v>900</v>
      </c>
      <c r="E4" s="6" t="n">
        <v>150</v>
      </c>
      <c r="F4" s="6" t="n">
        <v>0</v>
      </c>
      <c r="G4" s="11" t="n">
        <f aca="false">SUM(B4:F4)</f>
        <v>6050</v>
      </c>
      <c r="H4" s="6" t="n">
        <v>600</v>
      </c>
      <c r="I4" s="11" t="n">
        <f aca="false">G4-H4</f>
        <v>5450</v>
      </c>
    </row>
    <row r="5" customFormat="false" ht="15" hidden="false" customHeight="true" outlineLevel="0" collapsed="false">
      <c r="A5" s="3" t="s">
        <v>178</v>
      </c>
      <c r="B5" s="6" t="n">
        <v>8000</v>
      </c>
      <c r="C5" s="6" t="n">
        <v>6000</v>
      </c>
      <c r="D5" s="6" t="n">
        <v>1700</v>
      </c>
      <c r="E5" s="6" t="n">
        <v>200</v>
      </c>
      <c r="F5" s="6" t="n">
        <v>300</v>
      </c>
      <c r="G5" s="11" t="n">
        <f aca="false">SUM(B5:F5)</f>
        <v>16200</v>
      </c>
      <c r="H5" s="6" t="n">
        <v>900</v>
      </c>
      <c r="I5" s="11" t="n">
        <f aca="false">G5-H5</f>
        <v>15300</v>
      </c>
    </row>
    <row r="6" customFormat="false" ht="15" hidden="false" customHeight="true" outlineLevel="0" collapsed="false">
      <c r="A6" s="3" t="s">
        <v>179</v>
      </c>
      <c r="B6" s="6" t="n">
        <v>14500</v>
      </c>
      <c r="C6" s="6" t="n">
        <v>18000</v>
      </c>
      <c r="D6" s="6" t="n">
        <v>2400</v>
      </c>
      <c r="E6" s="6" t="n">
        <v>250</v>
      </c>
      <c r="F6" s="6" t="n">
        <v>2500</v>
      </c>
      <c r="G6" s="11" t="n">
        <f aca="false">SUM(B6:F6)</f>
        <v>37650</v>
      </c>
      <c r="H6" s="6" t="n">
        <v>1800</v>
      </c>
      <c r="I6" s="11" t="n">
        <f aca="false">G6-H6</f>
        <v>35850</v>
      </c>
    </row>
    <row r="7" customFormat="false" ht="15" hidden="false" customHeight="true" outlineLevel="0" collapsed="false">
      <c r="A7" s="3" t="s">
        <v>180</v>
      </c>
      <c r="B7" s="6" t="n">
        <v>25000</v>
      </c>
      <c r="C7" s="6" t="n">
        <v>90000</v>
      </c>
      <c r="D7" s="6" t="n">
        <v>2400</v>
      </c>
      <c r="E7" s="6" t="n">
        <v>300</v>
      </c>
      <c r="F7" s="6" t="n">
        <v>12000</v>
      </c>
      <c r="G7" s="11" t="n">
        <f aca="false">SUM(B7:F7)</f>
        <v>129700</v>
      </c>
      <c r="H7" s="6" t="n">
        <v>22000</v>
      </c>
      <c r="I7" s="11" t="n">
        <f aca="false">G7-H7</f>
        <v>107700</v>
      </c>
    </row>
    <row r="8" customFormat="false" ht="15" hidden="false" customHeight="true" outlineLevel="0" collapsed="false">
      <c r="A8" s="3" t="s">
        <v>181</v>
      </c>
      <c r="B8" s="6" t="n">
        <v>33000</v>
      </c>
      <c r="C8" s="6" t="n">
        <v>150000</v>
      </c>
      <c r="D8" s="6" t="n">
        <v>2400</v>
      </c>
      <c r="E8" s="6" t="n">
        <v>300</v>
      </c>
      <c r="F8" s="6" t="n">
        <v>20000</v>
      </c>
      <c r="G8" s="11" t="n">
        <f aca="false">SUM(B8:F8)</f>
        <v>205700</v>
      </c>
      <c r="H8" s="6" t="n">
        <v>28000</v>
      </c>
      <c r="I8" s="11" t="n">
        <f aca="false">G8-H8</f>
        <v>177700</v>
      </c>
    </row>
    <row r="10" customFormat="false" ht="15" hidden="false" customHeight="true" outlineLevel="0" collapsed="false">
      <c r="A10" s="2" t="s">
        <v>182</v>
      </c>
      <c r="B10" s="11" t="n">
        <f aca="false">G4*3+G5*7+G6*20+G7*30+G8*30</f>
        <v>10946550</v>
      </c>
    </row>
    <row r="11" customFormat="false" ht="15" hidden="false" customHeight="true" outlineLevel="0" collapsed="false">
      <c r="A11" s="3" t="s">
        <v>183</v>
      </c>
    </row>
    <row r="13" customFormat="false" ht="15" hidden="false" customHeight="true" outlineLevel="0" collapsed="false">
      <c r="A13" s="21" t="s">
        <v>184</v>
      </c>
      <c r="B13" s="21"/>
      <c r="C13" s="21"/>
      <c r="D13" s="21"/>
      <c r="E13" s="21"/>
      <c r="F13" s="21"/>
      <c r="G13" s="21"/>
      <c r="H13" s="21"/>
      <c r="I13" s="21"/>
    </row>
    <row r="14" customFormat="false" ht="15" hidden="false" customHeight="true" outlineLevel="0" collapsed="false">
      <c r="A14" s="21"/>
      <c r="B14" s="21"/>
      <c r="C14" s="21"/>
      <c r="D14" s="21"/>
      <c r="E14" s="21"/>
      <c r="F14" s="21"/>
      <c r="G14" s="21"/>
      <c r="H14" s="21"/>
      <c r="I14" s="21"/>
    </row>
  </sheetData>
  <mergeCells count="1">
    <mergeCell ref="A13:I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6"/>
    <col collapsed="false" customWidth="true" hidden="false" outlineLevel="0" max="3" min="3" style="1" width="14"/>
    <col collapsed="false" customWidth="true" hidden="false" outlineLevel="0" max="4" min="4" style="1" width="16"/>
    <col collapsed="false" customWidth="true" hidden="false" outlineLevel="0" max="5" min="5" style="1" width="14"/>
    <col collapsed="false" customWidth="true" hidden="false" outlineLevel="0" max="7" min="6" style="1" width="15"/>
    <col collapsed="false" customWidth="true" hidden="false" outlineLevel="0" max="8" min="8" style="1" width="17"/>
  </cols>
  <sheetData>
    <row r="1" customFormat="false" ht="15" hidden="false" customHeight="true" outlineLevel="0" collapsed="false">
      <c r="A1" s="2" t="s">
        <v>185</v>
      </c>
    </row>
    <row r="3" customFormat="false" ht="26.25" hidden="false" customHeight="true" outlineLevel="0" collapsed="false">
      <c r="A3" s="5" t="s">
        <v>186</v>
      </c>
      <c r="B3" s="5" t="s">
        <v>187</v>
      </c>
      <c r="C3" s="5" t="s">
        <v>188</v>
      </c>
      <c r="D3" s="5" t="s">
        <v>189</v>
      </c>
      <c r="E3" s="5" t="s">
        <v>190</v>
      </c>
      <c r="F3" s="5" t="s">
        <v>191</v>
      </c>
      <c r="G3" s="5" t="s">
        <v>192</v>
      </c>
      <c r="H3" s="5" t="s">
        <v>193</v>
      </c>
    </row>
    <row r="4" customFormat="false" ht="15" hidden="false" customHeight="true" outlineLevel="0" collapsed="false">
      <c r="A4" s="6" t="n">
        <v>1000</v>
      </c>
      <c r="B4" s="16" t="n">
        <f aca="false">A4*(Params!$L$17*Params!$L$20+Params!$L$18*Params!$L$21+Params!$L$19*Params!$L$22)</f>
        <v>34900000</v>
      </c>
      <c r="C4" s="16" t="n">
        <f aca="false">A4*(Params!$L$17*Params!$L$23+Params!$L$18*Params!$L$24+Params!$L$19*Params!$L$25)</f>
        <v>1020000</v>
      </c>
      <c r="D4" s="16" t="n">
        <f aca="false">A4*Params!$L$26*Params!$L$27/Params!$L$28</f>
        <v>25714285.7142857</v>
      </c>
      <c r="E4" s="16" t="n">
        <f aca="false">A4/Params!$L$29*Params!$L$30*Params!$L$31/30</f>
        <v>1437500</v>
      </c>
      <c r="F4" s="11" t="n">
        <f aca="false">SUM(C4:E4)</f>
        <v>28171785.7142857</v>
      </c>
      <c r="G4" s="11" t="n">
        <f aca="false">B4-F4</f>
        <v>6728214.28571429</v>
      </c>
      <c r="H4" s="11" t="n">
        <f aca="false">G4/A4</f>
        <v>6728.21428571429</v>
      </c>
    </row>
    <row r="5" customFormat="false" ht="15" hidden="false" customHeight="true" outlineLevel="0" collapsed="false">
      <c r="A5" s="6" t="n">
        <v>10000</v>
      </c>
      <c r="B5" s="16" t="n">
        <f aca="false">A5*(Params!$L$17*Params!$L$20+Params!$L$18*Params!$L$21+Params!$L$19*Params!$L$22)</f>
        <v>349000000</v>
      </c>
      <c r="C5" s="16" t="n">
        <f aca="false">A5*(Params!$L$17*Params!$L$23+Params!$L$18*Params!$L$24+Params!$L$19*Params!$L$25)</f>
        <v>10200000</v>
      </c>
      <c r="D5" s="16" t="n">
        <f aca="false">A5*Params!$L$26*Params!$L$27/Params!$L$28</f>
        <v>257142857.142857</v>
      </c>
      <c r="E5" s="16" t="n">
        <f aca="false">A5/Params!$L$29*Params!$L$30*Params!$L$31/30</f>
        <v>14375000</v>
      </c>
      <c r="F5" s="11" t="n">
        <f aca="false">SUM(C5:E5)</f>
        <v>281717857.142857</v>
      </c>
      <c r="G5" s="11" t="n">
        <f aca="false">B5-F5</f>
        <v>67282142.8571429</v>
      </c>
      <c r="H5" s="11" t="n">
        <f aca="false">G5/A5</f>
        <v>6728.21428571429</v>
      </c>
    </row>
    <row r="6" customFormat="false" ht="15" hidden="false" customHeight="true" outlineLevel="0" collapsed="false">
      <c r="A6" s="6" t="n">
        <v>100000</v>
      </c>
      <c r="B6" s="16" t="n">
        <f aca="false">A6*(Params!$L$17*Params!$L$20+Params!$L$18*Params!$L$21+Params!$L$19*Params!$L$22)</f>
        <v>3490000000</v>
      </c>
      <c r="C6" s="16" t="n">
        <f aca="false">A6*(Params!$L$17*Params!$L$23+Params!$L$18*Params!$L$24+Params!$L$19*Params!$L$25)</f>
        <v>102000000</v>
      </c>
      <c r="D6" s="16" t="n">
        <f aca="false">A6*Params!$L$26*Params!$L$27/Params!$L$28</f>
        <v>2571428571.42857</v>
      </c>
      <c r="E6" s="16" t="n">
        <f aca="false">A6/Params!$L$29*Params!$L$30*Params!$L$31/30</f>
        <v>143750000</v>
      </c>
      <c r="F6" s="11" t="n">
        <f aca="false">SUM(C6:E6)</f>
        <v>2817178571.42857</v>
      </c>
      <c r="G6" s="11" t="n">
        <f aca="false">B6-F6</f>
        <v>672821428.571429</v>
      </c>
      <c r="H6" s="11" t="n">
        <f aca="false">G6/A6</f>
        <v>6728.21428571429</v>
      </c>
    </row>
    <row r="9" customFormat="false" ht="15" hidden="false" customHeight="true" outlineLevel="0" collapsed="false">
      <c r="A9" s="2" t="s">
        <v>194</v>
      </c>
    </row>
    <row r="10" customFormat="false" ht="15" hidden="false" customHeight="true" outlineLevel="0" collapsed="false">
      <c r="A10" s="3" t="s">
        <v>195</v>
      </c>
    </row>
    <row r="11" customFormat="false" ht="15" hidden="false" customHeight="true" outlineLevel="0" collapsed="false">
      <c r="A11" s="3" t="s">
        <v>196</v>
      </c>
    </row>
    <row r="12" customFormat="false" ht="15" hidden="false" customHeight="true" outlineLevel="0" collapsed="false">
      <c r="A12" s="3" t="s">
        <v>197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1"/>
    <col collapsed="false" customWidth="true" hidden="false" outlineLevel="0" max="5" min="3" style="1" width="13"/>
    <col collapsed="false" customWidth="true" hidden="false" outlineLevel="0" max="6" min="6" style="1" width="14"/>
    <col collapsed="false" customWidth="true" hidden="false" outlineLevel="0" max="7" min="7" style="1" width="15"/>
    <col collapsed="false" customWidth="true" hidden="false" outlineLevel="0" max="8" min="8" style="1" width="14"/>
  </cols>
  <sheetData>
    <row r="1" customFormat="false" ht="15" hidden="false" customHeight="true" outlineLevel="0" collapsed="false">
      <c r="A1" s="2" t="s">
        <v>198</v>
      </c>
    </row>
    <row r="3" customFormat="false" ht="26.25" hidden="false" customHeight="true" outlineLevel="0" collapsed="false">
      <c r="A3" s="5" t="s">
        <v>66</v>
      </c>
      <c r="B3" s="5" t="s">
        <v>199</v>
      </c>
      <c r="C3" s="5" t="s">
        <v>200</v>
      </c>
      <c r="D3" s="5" t="s">
        <v>69</v>
      </c>
      <c r="E3" s="5" t="s">
        <v>201</v>
      </c>
      <c r="F3" s="5" t="s">
        <v>202</v>
      </c>
      <c r="G3" s="5" t="s">
        <v>203</v>
      </c>
      <c r="H3" s="5" t="s">
        <v>204</v>
      </c>
    </row>
    <row r="4" customFormat="false" ht="15" hidden="false" customHeight="true" outlineLevel="0" collapsed="false">
      <c r="A4" s="3" t="s">
        <v>205</v>
      </c>
      <c r="B4" s="6" t="n">
        <v>435</v>
      </c>
      <c r="C4" s="6" t="n">
        <v>65</v>
      </c>
      <c r="D4" s="16" t="n">
        <f aca="false">Params!$I$18</f>
        <v>10</v>
      </c>
      <c r="E4" s="16" t="n">
        <f aca="false">Params!$G$18</f>
        <v>25</v>
      </c>
      <c r="F4" s="11" t="n">
        <f aca="false">(B4-C4)*D4+C4*E4</f>
        <v>5325</v>
      </c>
      <c r="G4" s="16" t="n">
        <f aca="false">Player_Economy!G4</f>
        <v>6050</v>
      </c>
      <c r="H4" s="9" t="n">
        <f aca="false">F4/G4</f>
        <v>0.880165289256198</v>
      </c>
    </row>
    <row r="5" customFormat="false" ht="15" hidden="false" customHeight="true" outlineLevel="0" collapsed="false">
      <c r="A5" s="3" t="s">
        <v>206</v>
      </c>
      <c r="B5" s="6" t="n">
        <v>900</v>
      </c>
      <c r="C5" s="6" t="n">
        <v>30</v>
      </c>
      <c r="D5" s="16" t="n">
        <f aca="false">Params!$I$18</f>
        <v>10</v>
      </c>
      <c r="E5" s="16" t="n">
        <f aca="false">Params!$G$18</f>
        <v>25</v>
      </c>
      <c r="F5" s="11" t="n">
        <f aca="false">(B5-C5)*D5+C5*E5</f>
        <v>9450</v>
      </c>
      <c r="G5" s="16" t="n">
        <f aca="false">Player_Economy!G5</f>
        <v>16200</v>
      </c>
      <c r="H5" s="9" t="n">
        <f aca="false">F5/G5</f>
        <v>0.583333333333333</v>
      </c>
    </row>
    <row r="6" customFormat="false" ht="15" hidden="false" customHeight="true" outlineLevel="0" collapsed="false">
      <c r="A6" s="3" t="s">
        <v>207</v>
      </c>
      <c r="B6" s="6" t="n">
        <v>435</v>
      </c>
      <c r="C6" s="6" t="n">
        <v>20</v>
      </c>
      <c r="D6" s="16" t="n">
        <f aca="false">Params!$I$19</f>
        <v>45</v>
      </c>
      <c r="E6" s="16" t="n">
        <f aca="false">Params!$G$19</f>
        <v>75</v>
      </c>
      <c r="F6" s="11" t="n">
        <f aca="false">(B6-C6)*D6+C6*E6</f>
        <v>20175</v>
      </c>
      <c r="G6" s="16" t="n">
        <f aca="false">Player_Economy!G5</f>
        <v>16200</v>
      </c>
      <c r="H6" s="9" t="n">
        <f aca="false">F6/G6</f>
        <v>1.24537037037037</v>
      </c>
    </row>
    <row r="7" customFormat="false" ht="15" hidden="false" customHeight="true" outlineLevel="0" collapsed="false">
      <c r="A7" s="3" t="s">
        <v>208</v>
      </c>
      <c r="B7" s="6" t="n">
        <v>900</v>
      </c>
      <c r="C7" s="6" t="n">
        <v>27</v>
      </c>
      <c r="D7" s="16" t="n">
        <f aca="false">Params!$I$19</f>
        <v>45</v>
      </c>
      <c r="E7" s="16" t="n">
        <f aca="false">Params!$G$19</f>
        <v>75</v>
      </c>
      <c r="F7" s="11" t="n">
        <f aca="false">(B7-C7)*D7+C7*E7</f>
        <v>41310</v>
      </c>
      <c r="G7" s="16" t="n">
        <f aca="false">Player_Economy!G6</f>
        <v>37650</v>
      </c>
      <c r="H7" s="9" t="n">
        <f aca="false">F7/G7</f>
        <v>1.09721115537849</v>
      </c>
    </row>
    <row r="8" customFormat="false" ht="15" hidden="false" customHeight="true" outlineLevel="0" collapsed="false">
      <c r="A8" s="3" t="s">
        <v>209</v>
      </c>
      <c r="B8" s="6" t="n">
        <v>435</v>
      </c>
      <c r="C8" s="6" t="n">
        <v>18</v>
      </c>
      <c r="D8" s="16" t="n">
        <f aca="false">Params!$I$20</f>
        <v>15</v>
      </c>
      <c r="E8" s="16" t="n">
        <f aca="false">Params!$G$20</f>
        <v>75</v>
      </c>
      <c r="F8" s="11" t="n">
        <f aca="false">(B8-C8)*D8+C8*E8</f>
        <v>7605</v>
      </c>
      <c r="G8" s="16" t="n">
        <f aca="false">Player_Economy!G6</f>
        <v>37650</v>
      </c>
      <c r="H8" s="9" t="n">
        <f aca="false">F8/G8</f>
        <v>0.20199203187251</v>
      </c>
    </row>
    <row r="9" customFormat="false" ht="15" hidden="false" customHeight="true" outlineLevel="0" collapsed="false">
      <c r="A9" s="3" t="s">
        <v>210</v>
      </c>
      <c r="B9" s="6" t="n">
        <v>750</v>
      </c>
      <c r="C9" s="6" t="n">
        <v>30</v>
      </c>
      <c r="D9" s="16" t="n">
        <f aca="false">Params!$I$20</f>
        <v>15</v>
      </c>
      <c r="E9" s="16" t="n">
        <f aca="false">Params!$G$20</f>
        <v>75</v>
      </c>
      <c r="F9" s="11" t="n">
        <f aca="false">(B9-C9)*D9+C9*E9</f>
        <v>13050</v>
      </c>
      <c r="G9" s="16" t="n">
        <f aca="false">Player_Economy!G6</f>
        <v>37650</v>
      </c>
      <c r="H9" s="9" t="n">
        <f aca="false">F9/G9</f>
        <v>0.346613545816733</v>
      </c>
    </row>
    <row r="10" customFormat="false" ht="15" hidden="false" customHeight="true" outlineLevel="0" collapsed="false">
      <c r="A10" s="3" t="s">
        <v>211</v>
      </c>
      <c r="B10" s="6" t="n">
        <v>710</v>
      </c>
      <c r="C10" s="6" t="n">
        <v>15</v>
      </c>
      <c r="D10" s="16" t="n">
        <f aca="false">Params!$I$22</f>
        <v>410</v>
      </c>
      <c r="E10" s="16" t="n">
        <f aca="false">Params!$G$22</f>
        <v>500</v>
      </c>
      <c r="F10" s="11" t="n">
        <f aca="false">(B10-C10)*D10+C10*E10</f>
        <v>292450</v>
      </c>
      <c r="G10" s="16" t="n">
        <f aca="false">Player_Economy!G7</f>
        <v>129700</v>
      </c>
      <c r="H10" s="9" t="n">
        <f aca="false">F10/G10</f>
        <v>2.25481881264456</v>
      </c>
    </row>
    <row r="12" customFormat="false" ht="15" hidden="false" customHeight="true" outlineLevel="0" collapsed="false">
      <c r="A12" s="2" t="s">
        <v>212</v>
      </c>
      <c r="F12" s="11" t="n">
        <f aca="false">SUM(F4:F10)</f>
        <v>389365</v>
      </c>
    </row>
    <row r="13" customFormat="false" ht="15" hidden="false" customHeight="true" outlineLevel="0" collapsed="false">
      <c r="A13" s="21" t="s">
        <v>213</v>
      </c>
      <c r="B13" s="21"/>
      <c r="C13" s="21"/>
      <c r="D13" s="21"/>
      <c r="E13" s="21"/>
      <c r="F13" s="21"/>
      <c r="G13" s="21"/>
      <c r="H13" s="21"/>
    </row>
    <row r="14" customFormat="false" ht="15" hidden="false" customHeight="true" outlineLevel="0" collapsed="false">
      <c r="A14" s="21"/>
      <c r="B14" s="21"/>
      <c r="C14" s="21"/>
      <c r="D14" s="21"/>
      <c r="E14" s="21"/>
      <c r="F14" s="21"/>
      <c r="G14" s="21"/>
      <c r="H14" s="21"/>
    </row>
    <row r="15" customFormat="false" ht="15" hidden="false" customHeight="true" outlineLevel="0" collapsed="false">
      <c r="A15" s="22" t="s">
        <v>214</v>
      </c>
      <c r="B15" s="22"/>
      <c r="C15" s="22"/>
      <c r="D15" s="22"/>
      <c r="E15" s="22"/>
      <c r="F15" s="22"/>
      <c r="G15" s="22"/>
      <c r="H15" s="22"/>
    </row>
    <row r="16" customFormat="false" ht="15" hidden="false" customHeight="true" outlineLevel="0" collapsed="false">
      <c r="A16" s="22"/>
      <c r="B16" s="22"/>
      <c r="C16" s="22"/>
      <c r="D16" s="22"/>
      <c r="E16" s="22"/>
      <c r="F16" s="22"/>
      <c r="G16" s="22"/>
      <c r="H16" s="22"/>
    </row>
  </sheetData>
  <mergeCells count="2">
    <mergeCell ref="A13:H14"/>
    <mergeCell ref="A15: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15"/>
    <col collapsed="false" customWidth="true" hidden="false" outlineLevel="0" max="4" min="4" style="1" width="14"/>
    <col collapsed="false" customWidth="true" hidden="false" outlineLevel="0" max="5" min="5" style="1" width="22"/>
    <col collapsed="false" customWidth="true" hidden="false" outlineLevel="0" max="6" min="6" style="1" width="18"/>
    <col collapsed="false" customWidth="true" hidden="false" outlineLevel="0" max="8" min="8" style="1" width="24"/>
  </cols>
  <sheetData>
    <row r="1" customFormat="false" ht="15" hidden="false" customHeight="true" outlineLevel="0" collapsed="false">
      <c r="A1" s="2" t="s">
        <v>215</v>
      </c>
    </row>
    <row r="2" customFormat="false" ht="15" hidden="false" customHeight="true" outlineLevel="0" collapsed="false">
      <c r="A2" s="3" t="s">
        <v>216</v>
      </c>
      <c r="B2" s="6" t="n">
        <v>525000</v>
      </c>
    </row>
    <row r="4" customFormat="false" ht="26.25" hidden="false" customHeight="true" outlineLevel="0" collapsed="false">
      <c r="A4" s="5" t="s">
        <v>217</v>
      </c>
      <c r="B4" s="5" t="s">
        <v>218</v>
      </c>
      <c r="C4" s="5" t="s">
        <v>219</v>
      </c>
      <c r="D4" s="5" t="s">
        <v>220</v>
      </c>
      <c r="E4" s="5" t="s">
        <v>221</v>
      </c>
      <c r="F4" s="5" t="s">
        <v>222</v>
      </c>
      <c r="H4" s="2" t="s">
        <v>223</v>
      </c>
    </row>
    <row r="5" customFormat="false" ht="15" hidden="false" customHeight="true" outlineLevel="0" collapsed="false">
      <c r="A5" s="11" t="n">
        <v>0</v>
      </c>
      <c r="B5" s="11" t="n">
        <f aca="false">A5*2</f>
        <v>0</v>
      </c>
      <c r="C5" s="23" t="n">
        <f aca="false">MAX(Params!$L$5^B5,Params!$L$6)</f>
        <v>1</v>
      </c>
      <c r="D5" s="11" t="n">
        <f aca="false">$B$2*C5</f>
        <v>525000</v>
      </c>
      <c r="E5" s="18" t="n">
        <f aca="false">IF(A5=0,0,2*$B$2*MAX(Params!$L$5^B5,Params!$L$6))</f>
        <v>0</v>
      </c>
      <c r="F5" s="11" t="n">
        <f aca="false">E5</f>
        <v>0</v>
      </c>
      <c r="H5" s="11" t="n">
        <f aca="false">MATCH(TRUE(),INDEX($C$5:$C$35=Params!$L$6,0),0)*2-2</f>
        <v>46</v>
      </c>
    </row>
    <row r="6" customFormat="false" ht="15" hidden="false" customHeight="true" outlineLevel="0" collapsed="false">
      <c r="A6" s="11" t="n">
        <v>1</v>
      </c>
      <c r="B6" s="11" t="n">
        <f aca="false">A6*2</f>
        <v>2</v>
      </c>
      <c r="C6" s="23" t="n">
        <f aca="false">MAX(Params!$L$5^B6,Params!$L$6)</f>
        <v>0.9409</v>
      </c>
      <c r="D6" s="11" t="n">
        <f aca="false">$B$2*C6</f>
        <v>493972.5</v>
      </c>
      <c r="E6" s="18" t="n">
        <f aca="false">IF(A6=0,0,2*$B$2*MAX(Params!$L$5^B6,Params!$L$6))</f>
        <v>987945</v>
      </c>
      <c r="F6" s="11" t="n">
        <f aca="false">F5+E6</f>
        <v>987945</v>
      </c>
      <c r="H6" s="3" t="s">
        <v>224</v>
      </c>
    </row>
    <row r="7" customFormat="false" ht="15" hidden="false" customHeight="true" outlineLevel="0" collapsed="false">
      <c r="A7" s="11" t="n">
        <v>2</v>
      </c>
      <c r="B7" s="11" t="n">
        <f aca="false">A7*2</f>
        <v>4</v>
      </c>
      <c r="C7" s="23" t="n">
        <f aca="false">MAX(Params!$L$5^B7,Params!$L$6)</f>
        <v>0.88529281</v>
      </c>
      <c r="D7" s="11" t="n">
        <f aca="false">$B$2*C7</f>
        <v>464778.72525</v>
      </c>
      <c r="E7" s="18" t="n">
        <f aca="false">IF(A7=0,0,2*$B$2*MAX(Params!$L$5^B7,Params!$L$6))</f>
        <v>929557.4505</v>
      </c>
      <c r="F7" s="11" t="n">
        <f aca="false">F6+E7</f>
        <v>1917502.4505</v>
      </c>
    </row>
    <row r="8" customFormat="false" ht="15" hidden="false" customHeight="true" outlineLevel="0" collapsed="false">
      <c r="A8" s="11" t="n">
        <v>3</v>
      </c>
      <c r="B8" s="11" t="n">
        <f aca="false">A8*2</f>
        <v>6</v>
      </c>
      <c r="C8" s="23" t="n">
        <f aca="false">MAX(Params!$L$5^B8,Params!$L$6)</f>
        <v>0.832972004929</v>
      </c>
      <c r="D8" s="11" t="n">
        <f aca="false">$B$2*C8</f>
        <v>437310.302587725</v>
      </c>
      <c r="E8" s="18" t="n">
        <f aca="false">IF(A8=0,0,2*$B$2*MAX(Params!$L$5^B8,Params!$L$6))</f>
        <v>874620.60517545</v>
      </c>
      <c r="F8" s="11" t="n">
        <f aca="false">F7+E8</f>
        <v>2792123.05567545</v>
      </c>
      <c r="H8" s="3" t="s">
        <v>225</v>
      </c>
    </row>
    <row r="9" customFormat="false" ht="15" hidden="false" customHeight="true" outlineLevel="0" collapsed="false">
      <c r="A9" s="11" t="n">
        <v>4</v>
      </c>
      <c r="B9" s="11" t="n">
        <f aca="false">A9*2</f>
        <v>8</v>
      </c>
      <c r="C9" s="23" t="n">
        <f aca="false">MAX(Params!$L$5^B9,Params!$L$6)</f>
        <v>0.783743359437696</v>
      </c>
      <c r="D9" s="11" t="n">
        <f aca="false">$B$2*C9</f>
        <v>411465.26370479</v>
      </c>
      <c r="E9" s="18" t="n">
        <f aca="false">IF(A9=0,0,2*$B$2*MAX(Params!$L$5^B9,Params!$L$6))</f>
        <v>822930.527409581</v>
      </c>
      <c r="F9" s="11" t="n">
        <f aca="false">F8+E9</f>
        <v>3615053.58308503</v>
      </c>
      <c r="H9" s="4" t="s">
        <v>226</v>
      </c>
    </row>
    <row r="10" customFormat="false" ht="15" hidden="false" customHeight="true" outlineLevel="0" collapsed="false">
      <c r="A10" s="11" t="n">
        <v>5</v>
      </c>
      <c r="B10" s="11" t="n">
        <f aca="false">A10*2</f>
        <v>10</v>
      </c>
      <c r="C10" s="23" t="n">
        <f aca="false">MAX(Params!$L$5^B10,Params!$L$6)</f>
        <v>0.737424126894928</v>
      </c>
      <c r="D10" s="11" t="n">
        <f aca="false">$B$2*C10</f>
        <v>387147.666619837</v>
      </c>
      <c r="E10" s="18" t="n">
        <f aca="false">IF(A10=0,0,2*$B$2*MAX(Params!$L$5^B10,Params!$L$6))</f>
        <v>774295.333239675</v>
      </c>
      <c r="F10" s="11" t="n">
        <f aca="false">F9+E10</f>
        <v>4389348.91632471</v>
      </c>
    </row>
    <row r="11" customFormat="false" ht="15" hidden="false" customHeight="true" outlineLevel="0" collapsed="false">
      <c r="A11" s="11" t="n">
        <v>6</v>
      </c>
      <c r="B11" s="11" t="n">
        <f aca="false">A11*2</f>
        <v>12</v>
      </c>
      <c r="C11" s="23" t="n">
        <f aca="false">MAX(Params!$L$5^B11,Params!$L$6)</f>
        <v>0.693842360995438</v>
      </c>
      <c r="D11" s="11" t="n">
        <f aca="false">$B$2*C11</f>
        <v>364267.239522605</v>
      </c>
      <c r="E11" s="18" t="n">
        <f aca="false">IF(A11=0,0,2*$B$2*MAX(Params!$L$5^B11,Params!$L$6))</f>
        <v>728534.47904521</v>
      </c>
      <c r="F11" s="11" t="n">
        <f aca="false">F10+E11</f>
        <v>5117883.39536991</v>
      </c>
    </row>
    <row r="12" customFormat="false" ht="15" hidden="false" customHeight="true" outlineLevel="0" collapsed="false">
      <c r="A12" s="11" t="n">
        <v>7</v>
      </c>
      <c r="B12" s="11" t="n">
        <f aca="false">A12*2</f>
        <v>14</v>
      </c>
      <c r="C12" s="23" t="n">
        <f aca="false">MAX(Params!$L$5^B12,Params!$L$6)</f>
        <v>0.652836277460607</v>
      </c>
      <c r="D12" s="11" t="n">
        <f aca="false">$B$2*C12</f>
        <v>342739.045666819</v>
      </c>
      <c r="E12" s="18" t="n">
        <f aca="false">IF(A12=0,0,2*$B$2*MAX(Params!$L$5^B12,Params!$L$6))</f>
        <v>685478.091333638</v>
      </c>
      <c r="F12" s="11" t="n">
        <f aca="false">F11+E12</f>
        <v>5803361.48670355</v>
      </c>
    </row>
    <row r="13" customFormat="false" ht="15" hidden="false" customHeight="true" outlineLevel="0" collapsed="false">
      <c r="A13" s="11" t="n">
        <v>8</v>
      </c>
      <c r="B13" s="11" t="n">
        <f aca="false">A13*2</f>
        <v>16</v>
      </c>
      <c r="C13" s="23" t="n">
        <f aca="false">MAX(Params!$L$5^B13,Params!$L$6)</f>
        <v>0.614253653462686</v>
      </c>
      <c r="D13" s="11" t="n">
        <f aca="false">$B$2*C13</f>
        <v>322483.16806791</v>
      </c>
      <c r="E13" s="18" t="n">
        <f aca="false">IF(A13=0,0,2*$B$2*MAX(Params!$L$5^B13,Params!$L$6))</f>
        <v>644966.33613582</v>
      </c>
      <c r="F13" s="11" t="n">
        <f aca="false">F12+E13</f>
        <v>6448327.82283937</v>
      </c>
    </row>
    <row r="14" customFormat="false" ht="15" hidden="false" customHeight="true" outlineLevel="0" collapsed="false">
      <c r="A14" s="11" t="n">
        <v>9</v>
      </c>
      <c r="B14" s="11" t="n">
        <f aca="false">A14*2</f>
        <v>18</v>
      </c>
      <c r="C14" s="23" t="n">
        <f aca="false">MAX(Params!$L$5^B14,Params!$L$6)</f>
        <v>0.577951262543041</v>
      </c>
      <c r="D14" s="11" t="n">
        <f aca="false">$B$2*C14</f>
        <v>303424.412835096</v>
      </c>
      <c r="E14" s="18" t="n">
        <f aca="false">IF(A14=0,0,2*$B$2*MAX(Params!$L$5^B14,Params!$L$6))</f>
        <v>606848.825670193</v>
      </c>
      <c r="F14" s="11" t="n">
        <f aca="false">F13+E14</f>
        <v>7055176.64850957</v>
      </c>
    </row>
    <row r="15" customFormat="false" ht="15" hidden="false" customHeight="true" outlineLevel="0" collapsed="false">
      <c r="A15" s="11" t="n">
        <v>10</v>
      </c>
      <c r="B15" s="11" t="n">
        <f aca="false">A15*2</f>
        <v>20</v>
      </c>
      <c r="C15" s="23" t="n">
        <f aca="false">MAX(Params!$L$5^B15,Params!$L$6)</f>
        <v>0.543794342926747</v>
      </c>
      <c r="D15" s="11" t="n">
        <f aca="false">$B$2*C15</f>
        <v>285492.030036542</v>
      </c>
      <c r="E15" s="18" t="n">
        <f aca="false">IF(A15=0,0,2*$B$2*MAX(Params!$L$5^B15,Params!$L$6))</f>
        <v>570984.060073084</v>
      </c>
      <c r="F15" s="11" t="n">
        <f aca="false">F14+E15</f>
        <v>7626160.70858265</v>
      </c>
    </row>
    <row r="16" customFormat="false" ht="15" hidden="false" customHeight="true" outlineLevel="0" collapsed="false">
      <c r="A16" s="11" t="n">
        <v>11</v>
      </c>
      <c r="B16" s="11" t="n">
        <f aca="false">A16*2</f>
        <v>22</v>
      </c>
      <c r="C16" s="23" t="n">
        <f aca="false">MAX(Params!$L$5^B16,Params!$L$6)</f>
        <v>0.511656097259776</v>
      </c>
      <c r="D16" s="11" t="n">
        <f aca="false">$B$2*C16</f>
        <v>268619.451061383</v>
      </c>
      <c r="E16" s="18" t="n">
        <f aca="false">IF(A16=0,0,2*$B$2*MAX(Params!$L$5^B16,Params!$L$6))</f>
        <v>537238.902122765</v>
      </c>
      <c r="F16" s="11" t="n">
        <f aca="false">F15+E16</f>
        <v>8163399.61070541</v>
      </c>
    </row>
    <row r="17" customFormat="false" ht="15" hidden="false" customHeight="true" outlineLevel="0" collapsed="false">
      <c r="A17" s="11" t="n">
        <v>12</v>
      </c>
      <c r="B17" s="11" t="n">
        <f aca="false">A17*2</f>
        <v>24</v>
      </c>
      <c r="C17" s="23" t="n">
        <f aca="false">MAX(Params!$L$5^B17,Params!$L$6)</f>
        <v>0.481417221911723</v>
      </c>
      <c r="D17" s="11" t="n">
        <f aca="false">$B$2*C17</f>
        <v>252744.041503655</v>
      </c>
      <c r="E17" s="18" t="n">
        <f aca="false">IF(A17=0,0,2*$B$2*MAX(Params!$L$5^B17,Params!$L$6))</f>
        <v>505488.08300731</v>
      </c>
      <c r="F17" s="11" t="n">
        <f aca="false">F16+E17</f>
        <v>8668887.69371272</v>
      </c>
    </row>
    <row r="18" customFormat="false" ht="15" hidden="false" customHeight="true" outlineLevel="0" collapsed="false">
      <c r="A18" s="11" t="n">
        <v>13</v>
      </c>
      <c r="B18" s="11" t="n">
        <f aca="false">A18*2</f>
        <v>26</v>
      </c>
      <c r="C18" s="23" t="n">
        <f aca="false">MAX(Params!$L$5^B18,Params!$L$6)</f>
        <v>0.452965464096741</v>
      </c>
      <c r="D18" s="11" t="n">
        <f aca="false">$B$2*C18</f>
        <v>237806.868650789</v>
      </c>
      <c r="E18" s="18" t="n">
        <f aca="false">IF(A18=0,0,2*$B$2*MAX(Params!$L$5^B18,Params!$L$6))</f>
        <v>475613.737301578</v>
      </c>
      <c r="F18" s="11" t="n">
        <f aca="false">F17+E18</f>
        <v>9144501.4310143</v>
      </c>
    </row>
    <row r="19" customFormat="false" ht="15" hidden="false" customHeight="true" outlineLevel="0" collapsed="false">
      <c r="A19" s="11" t="n">
        <v>14</v>
      </c>
      <c r="B19" s="11" t="n">
        <f aca="false">A19*2</f>
        <v>28</v>
      </c>
      <c r="C19" s="23" t="n">
        <f aca="false">MAX(Params!$L$5^B19,Params!$L$6)</f>
        <v>0.426195205168623</v>
      </c>
      <c r="D19" s="11" t="n">
        <f aca="false">$B$2*C19</f>
        <v>223752.482713527</v>
      </c>
      <c r="E19" s="18" t="n">
        <f aca="false">IF(A19=0,0,2*$B$2*MAX(Params!$L$5^B19,Params!$L$6))</f>
        <v>447504.965427054</v>
      </c>
      <c r="F19" s="11" t="n">
        <f aca="false">F18+E19</f>
        <v>9592006.39644135</v>
      </c>
    </row>
    <row r="20" customFormat="false" ht="15" hidden="false" customHeight="true" outlineLevel="0" collapsed="false">
      <c r="A20" s="11" t="n">
        <v>15</v>
      </c>
      <c r="B20" s="11" t="n">
        <f aca="false">A20*2</f>
        <v>30</v>
      </c>
      <c r="C20" s="23" t="n">
        <f aca="false">MAX(Params!$L$5^B20,Params!$L$6)</f>
        <v>0.401007068543158</v>
      </c>
      <c r="D20" s="11" t="n">
        <f aca="false">$B$2*C20</f>
        <v>210528.710985158</v>
      </c>
      <c r="E20" s="18" t="n">
        <f aca="false">IF(A20=0,0,2*$B$2*MAX(Params!$L$5^B20,Params!$L$6))</f>
        <v>421057.421970315</v>
      </c>
      <c r="F20" s="11" t="n">
        <f aca="false">F19+E20</f>
        <v>10013063.8184117</v>
      </c>
    </row>
    <row r="21" customFormat="false" ht="15" hidden="false" customHeight="true" outlineLevel="0" collapsed="false">
      <c r="A21" s="11" t="n">
        <v>16</v>
      </c>
      <c r="B21" s="11" t="n">
        <f aca="false">A21*2</f>
        <v>32</v>
      </c>
      <c r="C21" s="23" t="n">
        <f aca="false">MAX(Params!$L$5^B21,Params!$L$6)</f>
        <v>0.377307550792257</v>
      </c>
      <c r="D21" s="11" t="n">
        <f aca="false">$B$2*C21</f>
        <v>198086.464165935</v>
      </c>
      <c r="E21" s="18" t="n">
        <f aca="false">IF(A21=0,0,2*$B$2*MAX(Params!$L$5^B21,Params!$L$6))</f>
        <v>396172.92833187</v>
      </c>
      <c r="F21" s="11" t="n">
        <f aca="false">F20+E21</f>
        <v>10409236.7467435</v>
      </c>
    </row>
    <row r="22" customFormat="false" ht="15" hidden="false" customHeight="true" outlineLevel="0" collapsed="false">
      <c r="A22" s="11" t="n">
        <v>17</v>
      </c>
      <c r="B22" s="11" t="n">
        <f aca="false">A22*2</f>
        <v>34</v>
      </c>
      <c r="C22" s="23" t="n">
        <f aca="false">MAX(Params!$L$5^B22,Params!$L$6)</f>
        <v>0.355008674540434</v>
      </c>
      <c r="D22" s="11" t="n">
        <f aca="false">$B$2*C22</f>
        <v>186379.554133728</v>
      </c>
      <c r="E22" s="18" t="n">
        <f aca="false">IF(A22=0,0,2*$B$2*MAX(Params!$L$5^B22,Params!$L$6))</f>
        <v>372759.108267456</v>
      </c>
      <c r="F22" s="11" t="n">
        <f aca="false">F21+E22</f>
        <v>10781995.855011</v>
      </c>
    </row>
    <row r="23" customFormat="false" ht="15" hidden="false" customHeight="true" outlineLevel="0" collapsed="false">
      <c r="A23" s="11" t="n">
        <v>18</v>
      </c>
      <c r="B23" s="11" t="n">
        <f aca="false">A23*2</f>
        <v>36</v>
      </c>
      <c r="C23" s="23" t="n">
        <f aca="false">MAX(Params!$L$5^B23,Params!$L$6)</f>
        <v>0.334027661875095</v>
      </c>
      <c r="D23" s="11" t="n">
        <f aca="false">$B$2*C23</f>
        <v>175364.522484425</v>
      </c>
      <c r="E23" s="18" t="n">
        <f aca="false">IF(A23=0,0,2*$B$2*MAX(Params!$L$5^B23,Params!$L$6))</f>
        <v>350729.04496885</v>
      </c>
      <c r="F23" s="11" t="n">
        <f aca="false">F22+E23</f>
        <v>11132724.8999798</v>
      </c>
    </row>
    <row r="24" customFormat="false" ht="15" hidden="false" customHeight="true" outlineLevel="0" collapsed="false">
      <c r="A24" s="11" t="n">
        <v>19</v>
      </c>
      <c r="B24" s="11" t="n">
        <f aca="false">A24*2</f>
        <v>38</v>
      </c>
      <c r="C24" s="23" t="n">
        <f aca="false">MAX(Params!$L$5^B24,Params!$L$6)</f>
        <v>0.314286627058277</v>
      </c>
      <c r="D24" s="11" t="n">
        <f aca="false">$B$2*C24</f>
        <v>165000.479205595</v>
      </c>
      <c r="E24" s="18" t="n">
        <f aca="false">IF(A24=0,0,2*$B$2*MAX(Params!$L$5^B24,Params!$L$6))</f>
        <v>330000.958411191</v>
      </c>
      <c r="F24" s="11" t="n">
        <f aca="false">F23+E24</f>
        <v>11462725.858391</v>
      </c>
    </row>
    <row r="25" customFormat="false" ht="15" hidden="false" customHeight="true" outlineLevel="0" collapsed="false">
      <c r="A25" s="11" t="n">
        <v>20</v>
      </c>
      <c r="B25" s="11" t="n">
        <f aca="false">A25*2</f>
        <v>40</v>
      </c>
      <c r="C25" s="23" t="n">
        <f aca="false">MAX(Params!$L$5^B25,Params!$L$6)</f>
        <v>0.295712287399132</v>
      </c>
      <c r="D25" s="11" t="n">
        <f aca="false">$B$2*C25</f>
        <v>155248.950884545</v>
      </c>
      <c r="E25" s="18" t="n">
        <f aca="false">IF(A25=0,0,2*$B$2*MAX(Params!$L$5^B25,Params!$L$6))</f>
        <v>310497.901769089</v>
      </c>
      <c r="F25" s="11" t="n">
        <f aca="false">F24+E25</f>
        <v>11773223.7601601</v>
      </c>
    </row>
    <row r="26" customFormat="false" ht="15" hidden="false" customHeight="true" outlineLevel="0" collapsed="false">
      <c r="A26" s="11" t="n">
        <v>21</v>
      </c>
      <c r="B26" s="11" t="n">
        <f aca="false">A26*2</f>
        <v>42</v>
      </c>
      <c r="C26" s="23" t="n">
        <f aca="false">MAX(Params!$L$5^B26,Params!$L$6)</f>
        <v>0.278235691213844</v>
      </c>
      <c r="D26" s="11" t="n">
        <f aca="false">$B$2*C26</f>
        <v>146073.737887268</v>
      </c>
      <c r="E26" s="18" t="n">
        <f aca="false">IF(A26=0,0,2*$B$2*MAX(Params!$L$5^B26,Params!$L$6))</f>
        <v>292147.475774536</v>
      </c>
      <c r="F26" s="11" t="n">
        <f aca="false">F25+E26</f>
        <v>12065371.2359347</v>
      </c>
    </row>
    <row r="27" customFormat="false" ht="15" hidden="false" customHeight="true" outlineLevel="0" collapsed="false">
      <c r="A27" s="11" t="n">
        <v>22</v>
      </c>
      <c r="B27" s="11" t="n">
        <f aca="false">A27*2</f>
        <v>44</v>
      </c>
      <c r="C27" s="23" t="n">
        <f aca="false">MAX(Params!$L$5^B27,Params!$L$6)</f>
        <v>0.261791961863106</v>
      </c>
      <c r="D27" s="11" t="n">
        <f aca="false">$B$2*C27</f>
        <v>137440.77997813</v>
      </c>
      <c r="E27" s="18" t="n">
        <f aca="false">IF(A27=0,0,2*$B$2*MAX(Params!$L$5^B27,Params!$L$6))</f>
        <v>274881.559956261</v>
      </c>
      <c r="F27" s="11" t="n">
        <f aca="false">F26+E27</f>
        <v>12340252.7958909</v>
      </c>
    </row>
    <row r="28" customFormat="false" ht="15" hidden="false" customHeight="true" outlineLevel="0" collapsed="false">
      <c r="A28" s="11" t="n">
        <v>23</v>
      </c>
      <c r="B28" s="11" t="n">
        <f aca="false">A28*2</f>
        <v>46</v>
      </c>
      <c r="C28" s="23" t="n">
        <f aca="false">MAX(Params!$L$5^B28,Params!$L$6)</f>
        <v>0.25</v>
      </c>
      <c r="D28" s="11" t="n">
        <f aca="false">$B$2*C28</f>
        <v>131250</v>
      </c>
      <c r="E28" s="18" t="n">
        <f aca="false">IF(A28=0,0,2*$B$2*MAX(Params!$L$5^B28,Params!$L$6))</f>
        <v>262500</v>
      </c>
      <c r="F28" s="11" t="n">
        <f aca="false">F27+E28</f>
        <v>12602752.7958909</v>
      </c>
    </row>
    <row r="29" customFormat="false" ht="15" hidden="false" customHeight="true" outlineLevel="0" collapsed="false">
      <c r="A29" s="11" t="n">
        <v>24</v>
      </c>
      <c r="B29" s="11" t="n">
        <f aca="false">A29*2</f>
        <v>48</v>
      </c>
      <c r="C29" s="23" t="n">
        <f aca="false">MAX(Params!$L$5^B29,Params!$L$6)</f>
        <v>0.25</v>
      </c>
      <c r="D29" s="11" t="n">
        <f aca="false">$B$2*C29</f>
        <v>131250</v>
      </c>
      <c r="E29" s="18" t="n">
        <f aca="false">IF(A29=0,0,2*$B$2*MAX(Params!$L$5^B29,Params!$L$6))</f>
        <v>262500</v>
      </c>
      <c r="F29" s="11" t="n">
        <f aca="false">F28+E29</f>
        <v>12865252.7958909</v>
      </c>
    </row>
    <row r="30" customFormat="false" ht="15" hidden="false" customHeight="true" outlineLevel="0" collapsed="false">
      <c r="A30" s="11" t="n">
        <v>25</v>
      </c>
      <c r="B30" s="11" t="n">
        <f aca="false">A30*2</f>
        <v>50</v>
      </c>
      <c r="C30" s="23" t="n">
        <f aca="false">MAX(Params!$L$5^B30,Params!$L$6)</f>
        <v>0.25</v>
      </c>
      <c r="D30" s="11" t="n">
        <f aca="false">$B$2*C30</f>
        <v>131250</v>
      </c>
      <c r="E30" s="18" t="n">
        <f aca="false">IF(A30=0,0,2*$B$2*MAX(Params!$L$5^B30,Params!$L$6))</f>
        <v>262500</v>
      </c>
      <c r="F30" s="11" t="n">
        <f aca="false">F29+E30</f>
        <v>13127752.7958909</v>
      </c>
    </row>
    <row r="31" customFormat="false" ht="15" hidden="false" customHeight="true" outlineLevel="0" collapsed="false">
      <c r="A31" s="11" t="n">
        <v>26</v>
      </c>
      <c r="B31" s="11" t="n">
        <f aca="false">A31*2</f>
        <v>52</v>
      </c>
      <c r="C31" s="23" t="n">
        <f aca="false">MAX(Params!$L$5^B31,Params!$L$6)</f>
        <v>0.25</v>
      </c>
      <c r="D31" s="11" t="n">
        <f aca="false">$B$2*C31</f>
        <v>131250</v>
      </c>
      <c r="E31" s="18" t="n">
        <f aca="false">IF(A31=0,0,2*$B$2*MAX(Params!$L$5^B31,Params!$L$6))</f>
        <v>262500</v>
      </c>
      <c r="F31" s="11" t="n">
        <f aca="false">F30+E31</f>
        <v>13390252.7958909</v>
      </c>
    </row>
    <row r="32" customFormat="false" ht="15" hidden="false" customHeight="true" outlineLevel="0" collapsed="false">
      <c r="A32" s="11" t="n">
        <v>27</v>
      </c>
      <c r="B32" s="11" t="n">
        <f aca="false">A32*2</f>
        <v>54</v>
      </c>
      <c r="C32" s="23" t="n">
        <f aca="false">MAX(Params!$L$5^B32,Params!$L$6)</f>
        <v>0.25</v>
      </c>
      <c r="D32" s="11" t="n">
        <f aca="false">$B$2*C32</f>
        <v>131250</v>
      </c>
      <c r="E32" s="18" t="n">
        <f aca="false">IF(A32=0,0,2*$B$2*MAX(Params!$L$5^B32,Params!$L$6))</f>
        <v>262500</v>
      </c>
      <c r="F32" s="11" t="n">
        <f aca="false">F31+E32</f>
        <v>13652752.7958909</v>
      </c>
    </row>
    <row r="33" customFormat="false" ht="15" hidden="false" customHeight="true" outlineLevel="0" collapsed="false">
      <c r="A33" s="11" t="n">
        <v>28</v>
      </c>
      <c r="B33" s="11" t="n">
        <f aca="false">A33*2</f>
        <v>56</v>
      </c>
      <c r="C33" s="23" t="n">
        <f aca="false">MAX(Params!$L$5^B33,Params!$L$6)</f>
        <v>0.25</v>
      </c>
      <c r="D33" s="11" t="n">
        <f aca="false">$B$2*C33</f>
        <v>131250</v>
      </c>
      <c r="E33" s="18" t="n">
        <f aca="false">IF(A33=0,0,2*$B$2*MAX(Params!$L$5^B33,Params!$L$6))</f>
        <v>262500</v>
      </c>
      <c r="F33" s="11" t="n">
        <f aca="false">F32+E33</f>
        <v>13915252.7958909</v>
      </c>
    </row>
    <row r="34" customFormat="false" ht="15" hidden="false" customHeight="true" outlineLevel="0" collapsed="false">
      <c r="A34" s="11" t="n">
        <v>29</v>
      </c>
      <c r="B34" s="11" t="n">
        <f aca="false">A34*2</f>
        <v>58</v>
      </c>
      <c r="C34" s="23" t="n">
        <f aca="false">MAX(Params!$L$5^B34,Params!$L$6)</f>
        <v>0.25</v>
      </c>
      <c r="D34" s="11" t="n">
        <f aca="false">$B$2*C34</f>
        <v>131250</v>
      </c>
      <c r="E34" s="18" t="n">
        <f aca="false">IF(A34=0,0,2*$B$2*MAX(Params!$L$5^B34,Params!$L$6))</f>
        <v>262500</v>
      </c>
      <c r="F34" s="11" t="n">
        <f aca="false">F33+E34</f>
        <v>14177752.7958909</v>
      </c>
    </row>
    <row r="35" customFormat="false" ht="15" hidden="false" customHeight="true" outlineLevel="0" collapsed="false">
      <c r="A35" s="11" t="n">
        <v>30</v>
      </c>
      <c r="B35" s="11" t="n">
        <f aca="false">A35*2</f>
        <v>60</v>
      </c>
      <c r="C35" s="23" t="n">
        <f aca="false">MAX(Params!$L$5^B35,Params!$L$6)</f>
        <v>0.25</v>
      </c>
      <c r="D35" s="11" t="n">
        <f aca="false">$B$2*C35</f>
        <v>131250</v>
      </c>
      <c r="E35" s="18" t="n">
        <f aca="false">IF(A35=0,0,2*$B$2*MAX(Params!$L$5^B35,Params!$L$6))</f>
        <v>262500</v>
      </c>
      <c r="F35" s="11" t="n">
        <f aca="false">F34+E35</f>
        <v>14440252.7958909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3"/>
    <col collapsed="false" customWidth="true" hidden="false" outlineLevel="0" max="3" min="3" style="1" width="12"/>
    <col collapsed="false" customWidth="true" hidden="false" outlineLevel="0" max="4" min="4" style="1" width="17"/>
    <col collapsed="false" customWidth="true" hidden="false" outlineLevel="0" max="5" min="5" style="1" width="18"/>
    <col collapsed="false" customWidth="true" hidden="false" outlineLevel="0" max="6" min="6" style="1" width="19"/>
    <col collapsed="false" customWidth="true" hidden="false" outlineLevel="0" max="7" min="7" style="1" width="22"/>
  </cols>
  <sheetData>
    <row r="1" customFormat="false" ht="15" hidden="false" customHeight="true" outlineLevel="0" collapsed="false">
      <c r="A1" s="2" t="s">
        <v>227</v>
      </c>
    </row>
    <row r="3" customFormat="false" ht="26.25" hidden="false" customHeight="true" outlineLevel="0" collapsed="false">
      <c r="A3" s="5" t="s">
        <v>29</v>
      </c>
      <c r="B3" s="5" t="s">
        <v>228</v>
      </c>
      <c r="C3" s="5" t="s">
        <v>120</v>
      </c>
      <c r="D3" s="5" t="s">
        <v>229</v>
      </c>
      <c r="E3" s="5" t="s">
        <v>230</v>
      </c>
      <c r="F3" s="5" t="s">
        <v>231</v>
      </c>
      <c r="G3" s="5" t="s">
        <v>232</v>
      </c>
      <c r="H3" s="5" t="s">
        <v>233</v>
      </c>
    </row>
    <row r="4" customFormat="false" ht="15" hidden="false" customHeight="true" outlineLevel="0" collapsed="false">
      <c r="A4" s="3" t="s">
        <v>38</v>
      </c>
      <c r="B4" s="16" t="n">
        <f aca="false">Tiers!B5</f>
        <v>30</v>
      </c>
      <c r="C4" s="16" t="n">
        <f aca="false">Tiers!K5</f>
        <v>800</v>
      </c>
      <c r="D4" s="11" t="n">
        <f aca="false">B4*C4</f>
        <v>24000</v>
      </c>
      <c r="E4" s="6" t="n">
        <v>72</v>
      </c>
      <c r="F4" s="24" t="n">
        <f aca="false">Tiers!D5</f>
        <v>0.25</v>
      </c>
      <c r="G4" s="9" t="n">
        <f aca="false">E4/F4</f>
        <v>288</v>
      </c>
      <c r="H4" s="25" t="n">
        <f aca="false">E4/Tiers!C5</f>
        <v>360</v>
      </c>
    </row>
    <row r="5" customFormat="false" ht="15" hidden="false" customHeight="true" outlineLevel="0" collapsed="false">
      <c r="A5" s="3" t="s">
        <v>41</v>
      </c>
      <c r="B5" s="16" t="n">
        <f aca="false">Tiers!B6</f>
        <v>30</v>
      </c>
      <c r="C5" s="16" t="n">
        <f aca="false">Tiers!K6</f>
        <v>5000</v>
      </c>
      <c r="D5" s="11" t="n">
        <f aca="false">B5*C5</f>
        <v>150000</v>
      </c>
      <c r="E5" s="6" t="n">
        <v>72</v>
      </c>
      <c r="F5" s="24" t="n">
        <f aca="false">Tiers!D6</f>
        <v>0.9375</v>
      </c>
      <c r="G5" s="9" t="n">
        <f aca="false">E5/F5</f>
        <v>76.8</v>
      </c>
      <c r="H5" s="25" t="n">
        <f aca="false">E5/Tiers!C6</f>
        <v>96</v>
      </c>
    </row>
    <row r="6" customFormat="false" ht="15" hidden="false" customHeight="true" outlineLevel="0" collapsed="false">
      <c r="A6" s="3" t="s">
        <v>44</v>
      </c>
      <c r="B6" s="16" t="n">
        <f aca="false">Tiers!B7</f>
        <v>25</v>
      </c>
      <c r="C6" s="16" t="n">
        <f aca="false">Tiers!K7</f>
        <v>15000</v>
      </c>
      <c r="D6" s="11" t="n">
        <f aca="false">B6*C6</f>
        <v>375000</v>
      </c>
      <c r="E6" s="6" t="n">
        <v>96</v>
      </c>
      <c r="F6" s="24" t="n">
        <f aca="false">Tiers!D7</f>
        <v>3.75</v>
      </c>
      <c r="G6" s="9" t="n">
        <f aca="false">E6/F6</f>
        <v>25.6</v>
      </c>
      <c r="H6" s="25" t="n">
        <f aca="false">E6/Tiers!C7</f>
        <v>32</v>
      </c>
    </row>
    <row r="7" customFormat="false" ht="15" hidden="false" customHeight="true" outlineLevel="0" collapsed="false">
      <c r="A7" s="3" t="s">
        <v>47</v>
      </c>
      <c r="B7" s="16" t="n">
        <f aca="false">Tiers!B8</f>
        <v>20</v>
      </c>
      <c r="C7" s="16" t="n">
        <f aca="false">Tiers!K8</f>
        <v>60000</v>
      </c>
      <c r="D7" s="11" t="n">
        <f aca="false">B7*C7</f>
        <v>1200000</v>
      </c>
      <c r="E7" s="6" t="n">
        <v>120</v>
      </c>
      <c r="F7" s="24" t="n">
        <f aca="false">Tiers!D8</f>
        <v>10</v>
      </c>
      <c r="G7" s="9" t="n">
        <f aca="false">E7/F7</f>
        <v>12</v>
      </c>
      <c r="H7" s="25" t="n">
        <f aca="false">E7/Tiers!C8</f>
        <v>15</v>
      </c>
    </row>
    <row r="8" customFormat="false" ht="15" hidden="false" customHeight="true" outlineLevel="0" collapsed="false">
      <c r="A8" s="3" t="s">
        <v>50</v>
      </c>
      <c r="B8" s="16" t="n">
        <f aca="false">Tiers!B9</f>
        <v>15</v>
      </c>
      <c r="C8" s="16" t="n">
        <f aca="false">Tiers!K9</f>
        <v>100000</v>
      </c>
      <c r="D8" s="11" t="n">
        <f aca="false">B8*C8</f>
        <v>1500000</v>
      </c>
      <c r="E8" s="6" t="n">
        <v>168</v>
      </c>
      <c r="F8" s="24" t="n">
        <f aca="false">Tiers!D9</f>
        <v>24</v>
      </c>
      <c r="G8" s="9" t="n">
        <f aca="false">E8/F8</f>
        <v>7</v>
      </c>
      <c r="H8" s="25" t="n">
        <f aca="false">E8/Tiers!C9</f>
        <v>7</v>
      </c>
    </row>
    <row r="9" customFormat="false" ht="15" hidden="false" customHeight="true" outlineLevel="0" collapsed="false">
      <c r="A9" s="3" t="s">
        <v>53</v>
      </c>
      <c r="B9" s="16" t="n">
        <f aca="false">Tiers!B10</f>
        <v>120</v>
      </c>
      <c r="C9" s="16" t="n">
        <f aca="false">Tiers!K10</f>
        <v>200000</v>
      </c>
      <c r="D9" s="11" t="n">
        <f aca="false">B9*C9</f>
        <v>24000000</v>
      </c>
      <c r="E9" s="6" t="n">
        <v>168</v>
      </c>
      <c r="F9" s="24" t="n">
        <f aca="false">Tiers!D10</f>
        <v>24</v>
      </c>
      <c r="G9" s="9" t="n">
        <f aca="false">E9/F9</f>
        <v>7</v>
      </c>
      <c r="H9" s="25" t="n">
        <f aca="false">E9/Tiers!C10</f>
        <v>7</v>
      </c>
    </row>
    <row r="11" customFormat="false" ht="15" hidden="false" customHeight="true" outlineLevel="0" collapsed="false">
      <c r="A11" s="2" t="s">
        <v>234</v>
      </c>
      <c r="B11" s="12" t="s">
        <v>235</v>
      </c>
      <c r="C11" s="26" t="n">
        <f aca="false">D8+D9</f>
        <v>25500000</v>
      </c>
      <c r="D11" s="11" t="n">
        <f aca="false">SUM(D4:D9)</f>
        <v>27249000</v>
      </c>
    </row>
    <row r="12" customFormat="false" ht="15" hidden="false" customHeight="true" outlineLevel="0" collapsed="false">
      <c r="A12" s="3" t="s">
        <v>236</v>
      </c>
      <c r="D12" s="11" t="n">
        <f aca="false">SUM(D4:D8)</f>
        <v>3249000</v>
      </c>
    </row>
    <row r="13" customFormat="false" ht="15" hidden="false" customHeight="true" outlineLevel="0" collapsed="false">
      <c r="A13" s="21" t="s">
        <v>237</v>
      </c>
      <c r="B13" s="21"/>
      <c r="C13" s="21"/>
      <c r="D13" s="21"/>
      <c r="E13" s="21"/>
      <c r="F13" s="21"/>
      <c r="G13" s="21"/>
    </row>
    <row r="14" customFormat="false" ht="15" hidden="false" customHeight="true" outlineLevel="0" collapsed="false">
      <c r="A14" s="21"/>
      <c r="B14" s="21"/>
      <c r="C14" s="21"/>
      <c r="D14" s="21"/>
      <c r="E14" s="21"/>
      <c r="F14" s="21"/>
      <c r="G14" s="21"/>
    </row>
  </sheetData>
  <mergeCells count="1">
    <mergeCell ref="A13:G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4"/>
    <col collapsed="false" customWidth="true" hidden="false" outlineLevel="0" max="3" min="3" style="1" width="16"/>
    <col collapsed="false" customWidth="true" hidden="false" outlineLevel="0" max="4" min="4" style="1" width="10"/>
    <col collapsed="false" customWidth="true" hidden="false" outlineLevel="0" max="5" min="5" style="1" width="14"/>
    <col collapsed="false" customWidth="true" hidden="false" outlineLevel="0" max="6" min="6" style="1" width="20"/>
  </cols>
  <sheetData>
    <row r="1" customFormat="false" ht="15" hidden="false" customHeight="true" outlineLevel="0" collapsed="false">
      <c r="A1" s="2" t="s">
        <v>238</v>
      </c>
    </row>
    <row r="3" customFormat="false" ht="26.25" hidden="false" customHeight="true" outlineLevel="0" collapsed="false">
      <c r="A3" s="5" t="s">
        <v>239</v>
      </c>
      <c r="B3" s="5" t="s">
        <v>240</v>
      </c>
      <c r="C3" s="5" t="s">
        <v>241</v>
      </c>
      <c r="D3" s="5" t="s">
        <v>242</v>
      </c>
      <c r="E3" s="5" t="s">
        <v>243</v>
      </c>
      <c r="F3" s="5" t="s">
        <v>244</v>
      </c>
    </row>
    <row r="4" customFormat="false" ht="15" hidden="false" customHeight="true" outlineLevel="0" collapsed="false">
      <c r="A4" s="3" t="s">
        <v>245</v>
      </c>
      <c r="B4" s="6" t="n">
        <v>50</v>
      </c>
      <c r="C4" s="3" t="s">
        <v>246</v>
      </c>
      <c r="D4" s="6" t="n">
        <v>50</v>
      </c>
      <c r="E4" s="9" t="n">
        <f aca="false">D4/B4</f>
        <v>1</v>
      </c>
      <c r="F4" s="9" t="n">
        <f aca="false">D4/(B4*2)</f>
        <v>0.5</v>
      </c>
    </row>
    <row r="5" customFormat="false" ht="15" hidden="false" customHeight="true" outlineLevel="0" collapsed="false">
      <c r="A5" s="3" t="s">
        <v>142</v>
      </c>
      <c r="B5" s="16" t="n">
        <f aca="false">Rank_Model!C6*Params!$B$7+Rank_Model!D6*Params!$B$8+Rank_Model!E6*Params!$B$9+Rank_Model!F6*Params!$B$10+Rank_Model!G6*Params!$B$11+Rank_Model!H6*Params!$B$12</f>
        <v>399</v>
      </c>
      <c r="C5" s="3" t="s">
        <v>247</v>
      </c>
      <c r="D5" s="6" t="n">
        <v>300</v>
      </c>
      <c r="E5" s="9" t="n">
        <f aca="false">D5/B5</f>
        <v>0.75187969924812</v>
      </c>
      <c r="F5" s="9" t="n">
        <f aca="false">D5/(B5*2)</f>
        <v>0.37593984962406</v>
      </c>
    </row>
    <row r="6" customFormat="false" ht="15" hidden="false" customHeight="true" outlineLevel="0" collapsed="false">
      <c r="A6" s="3" t="s">
        <v>143</v>
      </c>
      <c r="B6" s="16" t="n">
        <f aca="false">Rank_Model!C7*Params!$B$7+Rank_Model!D7*Params!$B$8+Rank_Model!E7*Params!$B$9+Rank_Model!F7*Params!$B$10+Rank_Model!G7*Params!$B$11+Rank_Model!H7*Params!$B$12</f>
        <v>1037.5</v>
      </c>
      <c r="C6" s="3" t="s">
        <v>248</v>
      </c>
      <c r="D6" s="6" t="n">
        <v>1200</v>
      </c>
      <c r="E6" s="9" t="n">
        <f aca="false">D6/B6</f>
        <v>1.1566265060241</v>
      </c>
      <c r="F6" s="9" t="n">
        <f aca="false">D6/(B6*2)</f>
        <v>0.578313253012048</v>
      </c>
    </row>
    <row r="7" customFormat="false" ht="15" hidden="false" customHeight="true" outlineLevel="0" collapsed="false">
      <c r="A7" s="3" t="s">
        <v>249</v>
      </c>
      <c r="B7" s="16" t="n">
        <f aca="false">Rank_Model!C8*Params!$B$7+Rank_Model!D8*Params!$B$8+Rank_Model!E8*Params!$B$9+Rank_Model!F8*Params!$B$10+Rank_Model!G8*Params!$B$11+Rank_Model!H8*Params!$B$12</f>
        <v>3145</v>
      </c>
      <c r="C7" s="3" t="s">
        <v>250</v>
      </c>
      <c r="D7" s="6" t="n">
        <v>4000</v>
      </c>
      <c r="E7" s="9" t="n">
        <f aca="false">D7/B7</f>
        <v>1.27186009538951</v>
      </c>
      <c r="F7" s="9" t="n">
        <f aca="false">D7/(B7*2)</f>
        <v>0.635930047694754</v>
      </c>
    </row>
    <row r="9" customFormat="false" ht="15" hidden="false" customHeight="true" outlineLevel="0" collapsed="false">
      <c r="A9" s="21" t="s">
        <v>251</v>
      </c>
      <c r="B9" s="21"/>
      <c r="C9" s="21"/>
      <c r="D9" s="21"/>
      <c r="E9" s="21"/>
      <c r="F9" s="21"/>
    </row>
    <row r="10" customFormat="false" ht="15" hidden="false" customHeight="true" outlineLevel="0" collapsed="false">
      <c r="A10" s="21"/>
      <c r="B10" s="21"/>
      <c r="C10" s="21"/>
      <c r="D10" s="21"/>
      <c r="E10" s="21"/>
      <c r="F10" s="21"/>
    </row>
    <row r="12" customFormat="false" ht="15" hidden="false" customHeight="true" outlineLevel="0" collapsed="false">
      <c r="A12" s="4" t="s">
        <v>252</v>
      </c>
      <c r="C12" s="4" t="s">
        <v>186</v>
      </c>
      <c r="D12" s="4" t="s">
        <v>253</v>
      </c>
      <c r="E12" s="4" t="s">
        <v>254</v>
      </c>
      <c r="F12" s="4" t="s">
        <v>255</v>
      </c>
    </row>
    <row r="13" customFormat="false" ht="15" hidden="false" customHeight="true" outlineLevel="0" collapsed="false">
      <c r="B13" s="18" t="n">
        <f aca="false">C13*D13*E13*F13</f>
        <v>113400000</v>
      </c>
      <c r="C13" s="6" t="n">
        <v>10000</v>
      </c>
      <c r="D13" s="6" t="n">
        <v>900</v>
      </c>
      <c r="E13" s="6" t="n">
        <v>21</v>
      </c>
      <c r="F13" s="10" t="n">
        <v>0.6</v>
      </c>
    </row>
  </sheetData>
  <mergeCells count="1">
    <mergeCell ref="A9: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4"/>
    <col collapsed="false" customWidth="true" hidden="false" outlineLevel="0" max="3" min="3" style="1" width="18"/>
    <col collapsed="false" customWidth="true" hidden="false" outlineLevel="0" max="4" min="4" style="1" width="110"/>
  </cols>
  <sheetData>
    <row r="1" customFormat="false" ht="15" hidden="false" customHeight="true" outlineLevel="0" collapsed="false">
      <c r="A1" s="2" t="s">
        <v>256</v>
      </c>
    </row>
    <row r="3" customFormat="false" ht="15" hidden="false" customHeight="true" outlineLevel="0" collapsed="false">
      <c r="A3" s="5" t="s">
        <v>257</v>
      </c>
      <c r="B3" s="5" t="s">
        <v>258</v>
      </c>
      <c r="C3" s="5" t="s">
        <v>153</v>
      </c>
      <c r="D3" s="5" t="s">
        <v>259</v>
      </c>
    </row>
    <row r="4" customFormat="false" ht="57.75" hidden="false" customHeight="true" outlineLevel="0" collapsed="false">
      <c r="A4" s="27" t="s">
        <v>260</v>
      </c>
      <c r="B4" s="27" t="s">
        <v>261</v>
      </c>
      <c r="C4" s="28" t="s">
        <v>262</v>
      </c>
      <c r="D4" s="27" t="s">
        <v>263</v>
      </c>
    </row>
    <row r="5" customFormat="false" ht="57.75" hidden="false" customHeight="true" outlineLevel="0" collapsed="false">
      <c r="A5" s="27" t="s">
        <v>264</v>
      </c>
      <c r="B5" s="27" t="s">
        <v>265</v>
      </c>
      <c r="C5" s="28" t="s">
        <v>262</v>
      </c>
      <c r="D5" s="27" t="s">
        <v>266</v>
      </c>
    </row>
    <row r="6" customFormat="false" ht="57.75" hidden="false" customHeight="true" outlineLevel="0" collapsed="false">
      <c r="A6" s="27" t="s">
        <v>267</v>
      </c>
      <c r="B6" s="27" t="s">
        <v>268</v>
      </c>
      <c r="C6" s="28" t="s">
        <v>262</v>
      </c>
      <c r="D6" s="27" t="s">
        <v>269</v>
      </c>
    </row>
    <row r="7" customFormat="false" ht="57.75" hidden="false" customHeight="true" outlineLevel="0" collapsed="false">
      <c r="A7" s="27" t="s">
        <v>270</v>
      </c>
      <c r="B7" s="27" t="s">
        <v>271</v>
      </c>
      <c r="C7" s="28" t="s">
        <v>262</v>
      </c>
      <c r="D7" s="27" t="s">
        <v>272</v>
      </c>
    </row>
    <row r="8" customFormat="false" ht="57.75" hidden="false" customHeight="true" outlineLevel="0" collapsed="false">
      <c r="A8" s="27" t="s">
        <v>273</v>
      </c>
      <c r="B8" s="27" t="s">
        <v>274</v>
      </c>
      <c r="C8" s="28" t="s">
        <v>262</v>
      </c>
      <c r="D8" s="27" t="s">
        <v>275</v>
      </c>
    </row>
    <row r="9" customFormat="false" ht="57.75" hidden="false" customHeight="true" outlineLevel="0" collapsed="false">
      <c r="A9" s="27" t="s">
        <v>276</v>
      </c>
      <c r="B9" s="27" t="s">
        <v>277</v>
      </c>
      <c r="C9" s="28" t="s">
        <v>262</v>
      </c>
      <c r="D9" s="27" t="s">
        <v>278</v>
      </c>
    </row>
    <row r="10" customFormat="false" ht="57.75" hidden="false" customHeight="true" outlineLevel="0" collapsed="false">
      <c r="A10" s="27" t="s">
        <v>279</v>
      </c>
      <c r="B10" s="27" t="s">
        <v>280</v>
      </c>
      <c r="C10" s="28" t="s">
        <v>262</v>
      </c>
      <c r="D10" s="27" t="s">
        <v>281</v>
      </c>
    </row>
    <row r="11" customFormat="false" ht="57.75" hidden="false" customHeight="true" outlineLevel="0" collapsed="false">
      <c r="A11" s="27" t="s">
        <v>282</v>
      </c>
      <c r="B11" s="27" t="s">
        <v>283</v>
      </c>
      <c r="C11" s="28" t="s">
        <v>262</v>
      </c>
      <c r="D11" s="27" t="s">
        <v>284</v>
      </c>
    </row>
    <row r="12" customFormat="false" ht="57.75" hidden="false" customHeight="true" outlineLevel="0" collapsed="false">
      <c r="A12" s="27" t="s">
        <v>285</v>
      </c>
      <c r="B12" s="27" t="s">
        <v>286</v>
      </c>
      <c r="C12" s="28" t="s">
        <v>287</v>
      </c>
      <c r="D12" s="27" t="s">
        <v>288</v>
      </c>
    </row>
    <row r="13" customFormat="false" ht="57.75" hidden="false" customHeight="true" outlineLevel="0" collapsed="false">
      <c r="A13" s="27" t="s">
        <v>289</v>
      </c>
      <c r="B13" s="27" t="s">
        <v>290</v>
      </c>
      <c r="C13" s="28" t="s">
        <v>287</v>
      </c>
      <c r="D13" s="27" t="s">
        <v>291</v>
      </c>
    </row>
    <row r="14" customFormat="false" ht="57.75" hidden="false" customHeight="true" outlineLevel="0" collapsed="false">
      <c r="A14" s="27" t="s">
        <v>292</v>
      </c>
      <c r="B14" s="27" t="s">
        <v>293</v>
      </c>
      <c r="C14" s="28" t="s">
        <v>287</v>
      </c>
      <c r="D14" s="27" t="s">
        <v>294</v>
      </c>
    </row>
    <row r="15" customFormat="false" ht="57.75" hidden="false" customHeight="true" outlineLevel="0" collapsed="false">
      <c r="A15" s="27" t="s">
        <v>295</v>
      </c>
      <c r="B15" s="27" t="s">
        <v>296</v>
      </c>
      <c r="C15" s="28" t="s">
        <v>262</v>
      </c>
      <c r="D15" s="27" t="s">
        <v>297</v>
      </c>
    </row>
    <row r="16" customFormat="false" ht="39" hidden="false" customHeight="true" outlineLevel="0" collapsed="false">
      <c r="A16" s="20" t="s">
        <v>298</v>
      </c>
      <c r="B16" s="20" t="s">
        <v>299</v>
      </c>
      <c r="C16" s="20" t="s">
        <v>300</v>
      </c>
      <c r="D16" s="20" t="s">
        <v>301</v>
      </c>
    </row>
    <row r="17" customFormat="false" ht="39" hidden="false" customHeight="true" outlineLevel="0" collapsed="false">
      <c r="A17" s="20" t="s">
        <v>302</v>
      </c>
      <c r="B17" s="20" t="s">
        <v>303</v>
      </c>
      <c r="C17" s="20" t="s">
        <v>304</v>
      </c>
      <c r="D17" s="20" t="s">
        <v>305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6"/>
    <col collapsed="false" customWidth="true" hidden="false" outlineLevel="0" max="3" min="3" style="1" width="10"/>
    <col collapsed="false" customWidth="true" hidden="false" outlineLevel="0" max="4" min="4" style="1" width="8"/>
    <col collapsed="false" customWidth="true" hidden="false" outlineLevel="0" max="5" min="5" style="1" width="13"/>
    <col collapsed="false" customWidth="true" hidden="false" outlineLevel="0" max="6" min="6" style="1" width="11"/>
    <col collapsed="false" customWidth="true" hidden="false" outlineLevel="0" max="7" min="7" style="1" width="46"/>
    <col collapsed="false" customWidth="true" hidden="false" outlineLevel="0" max="8" min="8" style="1" width="56"/>
  </cols>
  <sheetData>
    <row r="1" customFormat="false" ht="15" hidden="false" customHeight="true" outlineLevel="0" collapsed="false">
      <c r="A1" s="29" t="s">
        <v>306</v>
      </c>
    </row>
    <row r="2" customFormat="false" ht="15" hidden="false" customHeight="true" outlineLevel="0" collapsed="false">
      <c r="A2" s="30" t="s">
        <v>307</v>
      </c>
    </row>
    <row r="3" customFormat="false" ht="15" hidden="false" customHeight="true" outlineLevel="0" collapsed="false">
      <c r="A3" s="31" t="s">
        <v>308</v>
      </c>
      <c r="B3" s="31" t="s">
        <v>309</v>
      </c>
      <c r="C3" s="31" t="s">
        <v>310</v>
      </c>
      <c r="D3" s="31" t="s">
        <v>311</v>
      </c>
      <c r="E3" s="31" t="s">
        <v>312</v>
      </c>
      <c r="F3" s="31" t="s">
        <v>313</v>
      </c>
      <c r="G3" s="31" t="s">
        <v>314</v>
      </c>
      <c r="H3" s="31" t="s">
        <v>315</v>
      </c>
    </row>
    <row r="4" customFormat="false" ht="15" hidden="false" customHeight="true" outlineLevel="0" collapsed="false">
      <c r="A4" s="4" t="s">
        <v>316</v>
      </c>
      <c r="B4" s="20" t="s">
        <v>317</v>
      </c>
      <c r="C4" s="4" t="s">
        <v>318</v>
      </c>
      <c r="D4" s="32" t="n">
        <v>5</v>
      </c>
      <c r="E4" s="32" t="n">
        <v>400</v>
      </c>
      <c r="F4" s="32" t="n">
        <v>25</v>
      </c>
      <c r="G4" s="20" t="s">
        <v>319</v>
      </c>
      <c r="H4" s="20" t="s">
        <v>320</v>
      </c>
    </row>
    <row r="5" customFormat="false" ht="15" hidden="false" customHeight="true" outlineLevel="0" collapsed="false">
      <c r="A5" s="4" t="s">
        <v>321</v>
      </c>
      <c r="B5" s="20" t="s">
        <v>322</v>
      </c>
      <c r="C5" s="4" t="s">
        <v>318</v>
      </c>
      <c r="D5" s="32" t="n">
        <v>2</v>
      </c>
      <c r="E5" s="32" t="n">
        <v>300</v>
      </c>
      <c r="F5" s="32" t="n">
        <v>25</v>
      </c>
      <c r="G5" s="20" t="s">
        <v>323</v>
      </c>
      <c r="H5" s="20" t="s">
        <v>324</v>
      </c>
    </row>
    <row r="6" customFormat="false" ht="15" hidden="false" customHeight="true" outlineLevel="0" collapsed="false">
      <c r="A6" s="4" t="s">
        <v>325</v>
      </c>
      <c r="B6" s="20" t="s">
        <v>326</v>
      </c>
      <c r="C6" s="4" t="s">
        <v>318</v>
      </c>
      <c r="D6" s="32" t="n">
        <v>1</v>
      </c>
      <c r="E6" s="32" t="n">
        <v>200</v>
      </c>
      <c r="F6" s="32" t="n">
        <v>25</v>
      </c>
      <c r="G6" s="20" t="s">
        <v>327</v>
      </c>
      <c r="H6" s="20"/>
    </row>
    <row r="7" customFormat="false" ht="15" hidden="false" customHeight="true" outlineLevel="0" collapsed="false">
      <c r="A7" s="4" t="s">
        <v>328</v>
      </c>
      <c r="B7" s="20" t="s">
        <v>329</v>
      </c>
      <c r="C7" s="4" t="s">
        <v>318</v>
      </c>
      <c r="D7" s="32" t="n">
        <v>3</v>
      </c>
      <c r="E7" s="32" t="n">
        <v>300</v>
      </c>
      <c r="F7" s="32" t="n">
        <v>25</v>
      </c>
      <c r="G7" s="20" t="s">
        <v>319</v>
      </c>
      <c r="H7" s="20"/>
    </row>
    <row r="8" customFormat="false" ht="15" hidden="false" customHeight="true" outlineLevel="0" collapsed="false">
      <c r="A8" s="4" t="s">
        <v>330</v>
      </c>
      <c r="B8" s="20" t="s">
        <v>331</v>
      </c>
      <c r="C8" s="4" t="s">
        <v>318</v>
      </c>
      <c r="D8" s="32" t="n">
        <v>4</v>
      </c>
      <c r="E8" s="32" t="n">
        <v>450</v>
      </c>
      <c r="F8" s="32" t="n">
        <v>25</v>
      </c>
      <c r="G8" s="20" t="s">
        <v>327</v>
      </c>
      <c r="H8" s="20"/>
    </row>
    <row r="9" customFormat="false" ht="15" hidden="false" customHeight="true" outlineLevel="0" collapsed="false">
      <c r="A9" s="4" t="s">
        <v>332</v>
      </c>
      <c r="B9" s="20" t="s">
        <v>333</v>
      </c>
      <c r="C9" s="4" t="s">
        <v>318</v>
      </c>
      <c r="D9" s="32" t="n">
        <v>3</v>
      </c>
      <c r="E9" s="32" t="n">
        <v>350</v>
      </c>
      <c r="F9" s="32" t="n">
        <v>25</v>
      </c>
      <c r="G9" s="20" t="s">
        <v>327</v>
      </c>
      <c r="H9" s="20"/>
    </row>
    <row r="10" customFormat="false" ht="15" hidden="false" customHeight="true" outlineLevel="0" collapsed="false">
      <c r="A10" s="4" t="s">
        <v>334</v>
      </c>
      <c r="B10" s="20" t="s">
        <v>335</v>
      </c>
      <c r="C10" s="4" t="s">
        <v>318</v>
      </c>
      <c r="D10" s="32" t="n">
        <v>1</v>
      </c>
      <c r="E10" s="32" t="n">
        <v>250</v>
      </c>
      <c r="F10" s="32" t="n">
        <v>25</v>
      </c>
      <c r="G10" s="20" t="s">
        <v>327</v>
      </c>
      <c r="H10" s="20" t="s">
        <v>336</v>
      </c>
    </row>
    <row r="11" customFormat="false" ht="15" hidden="false" customHeight="true" outlineLevel="0" collapsed="false">
      <c r="A11" s="4" t="s">
        <v>337</v>
      </c>
      <c r="B11" s="20" t="s">
        <v>338</v>
      </c>
      <c r="C11" s="4" t="s">
        <v>318</v>
      </c>
      <c r="D11" s="32" t="n">
        <v>3</v>
      </c>
      <c r="E11" s="32" t="n">
        <v>200</v>
      </c>
      <c r="F11" s="32" t="n">
        <v>25</v>
      </c>
      <c r="G11" s="20" t="s">
        <v>327</v>
      </c>
      <c r="H11" s="20" t="s">
        <v>339</v>
      </c>
    </row>
    <row r="12" customFormat="false" ht="15" hidden="false" customHeight="true" outlineLevel="0" collapsed="false">
      <c r="A12" s="4" t="s">
        <v>340</v>
      </c>
      <c r="B12" s="20" t="s">
        <v>341</v>
      </c>
      <c r="C12" s="4" t="s">
        <v>342</v>
      </c>
      <c r="D12" s="32" t="n">
        <v>3</v>
      </c>
      <c r="E12" s="32" t="n">
        <v>600</v>
      </c>
      <c r="F12" s="32" t="n">
        <v>75</v>
      </c>
      <c r="G12" s="20" t="s">
        <v>327</v>
      </c>
      <c r="H12" s="20"/>
    </row>
    <row r="13" customFormat="false" ht="15" hidden="false" customHeight="true" outlineLevel="0" collapsed="false">
      <c r="A13" s="4" t="s">
        <v>343</v>
      </c>
      <c r="B13" s="20" t="s">
        <v>344</v>
      </c>
      <c r="C13" s="4" t="s">
        <v>342</v>
      </c>
      <c r="D13" s="32" t="n">
        <v>500</v>
      </c>
      <c r="E13" s="32" t="n">
        <v>500</v>
      </c>
      <c r="F13" s="32" t="n">
        <v>75</v>
      </c>
      <c r="G13" s="20" t="s">
        <v>345</v>
      </c>
      <c r="H13" s="20" t="s">
        <v>346</v>
      </c>
    </row>
    <row r="14" customFormat="false" ht="15" hidden="false" customHeight="true" outlineLevel="0" collapsed="false">
      <c r="A14" s="4" t="s">
        <v>347</v>
      </c>
      <c r="B14" s="20" t="s">
        <v>348</v>
      </c>
      <c r="C14" s="4" t="s">
        <v>342</v>
      </c>
      <c r="D14" s="32" t="n">
        <v>5</v>
      </c>
      <c r="E14" s="32" t="n">
        <v>900</v>
      </c>
      <c r="F14" s="32" t="n">
        <v>75</v>
      </c>
      <c r="G14" s="20" t="s">
        <v>349</v>
      </c>
      <c r="H14" s="20"/>
    </row>
    <row r="15" customFormat="false" ht="15" hidden="false" customHeight="true" outlineLevel="0" collapsed="false">
      <c r="A15" s="4" t="s">
        <v>350</v>
      </c>
      <c r="B15" s="20" t="s">
        <v>351</v>
      </c>
      <c r="C15" s="4" t="s">
        <v>342</v>
      </c>
      <c r="D15" s="32" t="n">
        <v>1</v>
      </c>
      <c r="E15" s="32" t="n">
        <v>700</v>
      </c>
      <c r="F15" s="32" t="n">
        <v>75</v>
      </c>
      <c r="G15" s="20" t="s">
        <v>327</v>
      </c>
      <c r="H15" s="20"/>
    </row>
    <row r="16" customFormat="false" ht="15" hidden="false" customHeight="true" outlineLevel="0" collapsed="false">
      <c r="A16" s="4" t="s">
        <v>352</v>
      </c>
      <c r="B16" s="20" t="s">
        <v>353</v>
      </c>
      <c r="C16" s="4" t="s">
        <v>342</v>
      </c>
      <c r="D16" s="32" t="n">
        <v>6</v>
      </c>
      <c r="E16" s="32" t="n">
        <v>800</v>
      </c>
      <c r="F16" s="32" t="n">
        <v>75</v>
      </c>
      <c r="G16" s="20" t="s">
        <v>327</v>
      </c>
      <c r="H16" s="20"/>
    </row>
    <row r="17" customFormat="false" ht="15" hidden="false" customHeight="true" outlineLevel="0" collapsed="false">
      <c r="A17" s="4" t="s">
        <v>354</v>
      </c>
      <c r="B17" s="20" t="s">
        <v>355</v>
      </c>
      <c r="C17" s="4" t="s">
        <v>342</v>
      </c>
      <c r="D17" s="32" t="n">
        <v>8</v>
      </c>
      <c r="E17" s="32" t="n">
        <v>750</v>
      </c>
      <c r="F17" s="32" t="n">
        <v>75</v>
      </c>
      <c r="G17" s="20" t="s">
        <v>319</v>
      </c>
      <c r="H17" s="20"/>
    </row>
    <row r="18" customFormat="false" ht="15" hidden="false" customHeight="true" outlineLevel="0" collapsed="false">
      <c r="A18" s="4" t="s">
        <v>356</v>
      </c>
      <c r="B18" s="20" t="s">
        <v>357</v>
      </c>
      <c r="C18" s="4" t="s">
        <v>342</v>
      </c>
      <c r="D18" s="32" t="n">
        <v>1</v>
      </c>
      <c r="E18" s="32" t="n">
        <v>1200</v>
      </c>
      <c r="F18" s="32" t="n">
        <v>75</v>
      </c>
      <c r="G18" s="20" t="s">
        <v>358</v>
      </c>
      <c r="H18" s="20" t="s">
        <v>359</v>
      </c>
    </row>
    <row r="19" customFormat="false" ht="15" hidden="false" customHeight="true" outlineLevel="0" collapsed="false">
      <c r="A19" s="4" t="s">
        <v>360</v>
      </c>
      <c r="B19" s="20" t="s">
        <v>361</v>
      </c>
      <c r="C19" s="4" t="s">
        <v>342</v>
      </c>
      <c r="D19" s="32" t="n">
        <v>1500</v>
      </c>
      <c r="E19" s="32" t="n">
        <v>1000</v>
      </c>
      <c r="F19" s="32" t="n">
        <v>75</v>
      </c>
      <c r="G19" s="20" t="s">
        <v>345</v>
      </c>
      <c r="H19" s="20"/>
    </row>
    <row r="20" customFormat="false" ht="26.25" hidden="false" customHeight="true" outlineLevel="0" collapsed="false">
      <c r="A20" s="4" t="s">
        <v>362</v>
      </c>
      <c r="B20" s="20" t="s">
        <v>363</v>
      </c>
      <c r="C20" s="4" t="s">
        <v>364</v>
      </c>
      <c r="D20" s="32" t="n">
        <v>1</v>
      </c>
      <c r="E20" s="32" t="n">
        <v>1500</v>
      </c>
      <c r="F20" s="32" t="n">
        <v>150</v>
      </c>
      <c r="G20" s="20" t="s">
        <v>365</v>
      </c>
      <c r="H20" s="20" t="s">
        <v>366</v>
      </c>
    </row>
    <row r="21" customFormat="false" ht="26.25" hidden="false" customHeight="true" outlineLevel="0" collapsed="false">
      <c r="A21" s="4" t="s">
        <v>367</v>
      </c>
      <c r="B21" s="20" t="s">
        <v>368</v>
      </c>
      <c r="C21" s="4" t="s">
        <v>364</v>
      </c>
      <c r="D21" s="32" t="n">
        <v>1</v>
      </c>
      <c r="E21" s="32" t="n">
        <v>2000</v>
      </c>
      <c r="F21" s="32" t="n">
        <v>150</v>
      </c>
      <c r="G21" s="20" t="s">
        <v>369</v>
      </c>
      <c r="H21" s="20" t="s">
        <v>370</v>
      </c>
    </row>
    <row r="22" customFormat="false" ht="15" hidden="false" customHeight="true" outlineLevel="0" collapsed="false">
      <c r="A22" s="4" t="s">
        <v>371</v>
      </c>
      <c r="B22" s="20" t="s">
        <v>372</v>
      </c>
      <c r="C22" s="4" t="s">
        <v>364</v>
      </c>
      <c r="D22" s="32" t="n">
        <v>3</v>
      </c>
      <c r="E22" s="32" t="n">
        <v>1800</v>
      </c>
      <c r="F22" s="32" t="n">
        <v>150</v>
      </c>
      <c r="G22" s="20" t="s">
        <v>373</v>
      </c>
      <c r="H22" s="20"/>
    </row>
    <row r="23" customFormat="false" ht="26.25" hidden="false" customHeight="true" outlineLevel="0" collapsed="false">
      <c r="A23" s="4" t="s">
        <v>374</v>
      </c>
      <c r="B23" s="20" t="s">
        <v>375</v>
      </c>
      <c r="C23" s="4" t="s">
        <v>364</v>
      </c>
      <c r="D23" s="32" t="n">
        <v>2</v>
      </c>
      <c r="E23" s="32" t="n">
        <v>2200</v>
      </c>
      <c r="F23" s="32" t="n">
        <v>150</v>
      </c>
      <c r="G23" s="20" t="s">
        <v>376</v>
      </c>
      <c r="H23" s="20" t="s">
        <v>377</v>
      </c>
    </row>
    <row r="24" customFormat="false" ht="15" hidden="false" customHeight="true" outlineLevel="0" collapsed="false">
      <c r="A24" s="4" t="s">
        <v>378</v>
      </c>
      <c r="B24" s="20" t="s">
        <v>379</v>
      </c>
      <c r="C24" s="4" t="s">
        <v>364</v>
      </c>
      <c r="D24" s="32" t="n">
        <v>5000</v>
      </c>
      <c r="E24" s="32" t="n">
        <v>1600</v>
      </c>
      <c r="F24" s="32" t="n">
        <v>150</v>
      </c>
      <c r="G24" s="20" t="s">
        <v>327</v>
      </c>
      <c r="H24" s="20" t="s">
        <v>380</v>
      </c>
    </row>
    <row r="25" customFormat="false" ht="15" hidden="false" customHeight="true" outlineLevel="0" collapsed="false">
      <c r="A25" s="4" t="s">
        <v>381</v>
      </c>
      <c r="B25" s="20" t="s">
        <v>382</v>
      </c>
      <c r="C25" s="4" t="s">
        <v>364</v>
      </c>
      <c r="D25" s="32" t="n">
        <v>10</v>
      </c>
      <c r="E25" s="32" t="n">
        <v>1700</v>
      </c>
      <c r="F25" s="32" t="n">
        <v>150</v>
      </c>
      <c r="G25" s="20" t="s">
        <v>349</v>
      </c>
      <c r="H25" s="20"/>
    </row>
    <row r="26" customFormat="false" ht="15" hidden="false" customHeight="true" outlineLevel="0" collapsed="false">
      <c r="A26" s="4" t="s">
        <v>383</v>
      </c>
      <c r="B26" s="20" t="s">
        <v>384</v>
      </c>
      <c r="C26" s="4" t="s">
        <v>364</v>
      </c>
      <c r="D26" s="32" t="n">
        <v>10</v>
      </c>
      <c r="E26" s="32" t="n">
        <v>1500</v>
      </c>
      <c r="F26" s="32" t="n">
        <v>150</v>
      </c>
      <c r="G26" s="20" t="s">
        <v>327</v>
      </c>
      <c r="H26" s="20"/>
    </row>
    <row r="27" customFormat="false" ht="26.25" hidden="false" customHeight="true" outlineLevel="0" collapsed="false">
      <c r="A27" s="4" t="s">
        <v>385</v>
      </c>
      <c r="B27" s="20" t="s">
        <v>386</v>
      </c>
      <c r="C27" s="4" t="s">
        <v>364</v>
      </c>
      <c r="D27" s="32" t="n">
        <v>1</v>
      </c>
      <c r="E27" s="32" t="n">
        <v>1900</v>
      </c>
      <c r="F27" s="32" t="n">
        <v>150</v>
      </c>
      <c r="G27" s="20" t="s">
        <v>387</v>
      </c>
      <c r="H27" s="20" t="s">
        <v>388</v>
      </c>
    </row>
    <row r="29" customFormat="false" ht="864.75" hidden="false" customHeight="true" outlineLevel="0" collapsed="false">
      <c r="A29" s="20" t="s">
        <v>389</v>
      </c>
    </row>
    <row r="30" customFormat="false" ht="15" hidden="false" customHeight="true" outlineLevel="0" collapsed="false">
      <c r="A30" s="4" t="s">
        <v>390</v>
      </c>
      <c r="B30" s="3" t="n">
        <f aca="false">3*25+2*75</f>
        <v>225</v>
      </c>
      <c r="C30" s="30" t="s">
        <v>391</v>
      </c>
    </row>
    <row r="31" customFormat="false" ht="15" hidden="false" customHeight="true" outlineLevel="0" collapsed="false">
      <c r="A31" s="4" t="s">
        <v>392</v>
      </c>
      <c r="B31" s="3" t="n">
        <f aca="false">3*75+2*150</f>
        <v>525</v>
      </c>
      <c r="C31" s="30" t="s">
        <v>393</v>
      </c>
    </row>
    <row r="32" customFormat="false" ht="15" hidden="false" customHeight="true" outlineLevel="0" collapsed="false">
      <c r="A32" s="4" t="s">
        <v>394</v>
      </c>
      <c r="B32" s="3" t="n">
        <f aca="false">3*(0.6*25+0.4*75)+2*(0.3*75+0.7*150)</f>
        <v>390</v>
      </c>
      <c r="C32" s="30" t="s">
        <v>395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30"/>
    <col collapsed="false" customWidth="true" hidden="false" outlineLevel="0" max="4" min="4" style="1" width="36"/>
  </cols>
  <sheetData>
    <row r="1" customFormat="false" ht="15" hidden="false" customHeight="true" outlineLevel="0" collapsed="false">
      <c r="A1" s="29" t="s">
        <v>396</v>
      </c>
    </row>
    <row r="3" customFormat="false" ht="15" hidden="false" customHeight="true" outlineLevel="0" collapsed="false">
      <c r="A3" s="12" t="s">
        <v>397</v>
      </c>
    </row>
    <row r="4" customFormat="false" ht="15" hidden="false" customHeight="true" outlineLevel="0" collapsed="false">
      <c r="A4" s="31" t="s">
        <v>398</v>
      </c>
      <c r="B4" s="31" t="s">
        <v>399</v>
      </c>
      <c r="C4" s="31" t="s">
        <v>400</v>
      </c>
      <c r="D4" s="31" t="s">
        <v>401</v>
      </c>
    </row>
    <row r="5" customFormat="false" ht="15" hidden="false" customHeight="true" outlineLevel="0" collapsed="false">
      <c r="A5" s="4" t="s">
        <v>402</v>
      </c>
      <c r="B5" s="32" t="n">
        <v>8</v>
      </c>
      <c r="C5" s="4" t="s">
        <v>403</v>
      </c>
      <c r="D5" s="4" t="s">
        <v>404</v>
      </c>
    </row>
    <row r="6" customFormat="false" ht="15" hidden="false" customHeight="true" outlineLevel="0" collapsed="false">
      <c r="A6" s="4" t="s">
        <v>405</v>
      </c>
      <c r="B6" s="32" t="n">
        <v>1</v>
      </c>
      <c r="C6" s="4" t="s">
        <v>406</v>
      </c>
      <c r="D6" s="3" t="n">
        <f aca="false">B6*52</f>
        <v>52</v>
      </c>
    </row>
    <row r="7" customFormat="false" ht="15" hidden="false" customHeight="true" outlineLevel="0" collapsed="false">
      <c r="A7" s="4" t="s">
        <v>407</v>
      </c>
      <c r="B7" s="32" t="n">
        <v>25</v>
      </c>
      <c r="C7" s="4" t="s">
        <v>408</v>
      </c>
      <c r="D7" s="3" t="n">
        <f aca="false">B7*2</f>
        <v>50</v>
      </c>
    </row>
    <row r="8" customFormat="false" ht="15" hidden="false" customHeight="true" outlineLevel="0" collapsed="false">
      <c r="A8" s="4" t="s">
        <v>409</v>
      </c>
      <c r="B8" s="32" t="n">
        <v>5</v>
      </c>
      <c r="C8" s="4" t="s">
        <v>410</v>
      </c>
      <c r="D8" s="4" t="s">
        <v>411</v>
      </c>
    </row>
    <row r="9" customFormat="false" ht="15" hidden="false" customHeight="true" outlineLevel="0" collapsed="false">
      <c r="A9" s="12" t="s">
        <v>412</v>
      </c>
      <c r="D9" s="12" t="n">
        <f aca="false">D6+D7</f>
        <v>102</v>
      </c>
    </row>
    <row r="10" customFormat="false" ht="15" hidden="false" customHeight="true" outlineLevel="0" collapsed="false">
      <c r="A10" s="4" t="s">
        <v>413</v>
      </c>
      <c r="D10" s="3" t="n">
        <f aca="false">D9/12</f>
        <v>8.5</v>
      </c>
    </row>
    <row r="12" customFormat="false" ht="15" hidden="false" customHeight="true" outlineLevel="0" collapsed="false">
      <c r="A12" s="12" t="s">
        <v>414</v>
      </c>
    </row>
    <row r="13" customFormat="false" ht="15" hidden="false" customHeight="true" outlineLevel="0" collapsed="false">
      <c r="A13" s="31" t="s">
        <v>415</v>
      </c>
      <c r="B13" s="31" t="s">
        <v>416</v>
      </c>
      <c r="C13" s="31" t="s">
        <v>417</v>
      </c>
      <c r="D13" s="31" t="s">
        <v>418</v>
      </c>
    </row>
    <row r="14" customFormat="false" ht="15" hidden="false" customHeight="true" outlineLevel="0" collapsed="false">
      <c r="A14" s="4" t="s">
        <v>419</v>
      </c>
      <c r="B14" s="32" t="n">
        <v>30</v>
      </c>
      <c r="C14" s="3" t="n">
        <f aca="false">B14/$D$10</f>
        <v>3.52941176470588</v>
      </c>
      <c r="D14" s="3" t="n">
        <f aca="false">B14*$B$22</f>
        <v>100</v>
      </c>
    </row>
    <row r="15" customFormat="false" ht="15" hidden="false" customHeight="true" outlineLevel="0" collapsed="false">
      <c r="A15" s="4" t="s">
        <v>420</v>
      </c>
      <c r="B15" s="32" t="n">
        <v>30</v>
      </c>
      <c r="C15" s="3" t="n">
        <f aca="false">B15/$D$10</f>
        <v>3.52941176470588</v>
      </c>
      <c r="D15" s="3" t="n">
        <f aca="false">B15*$B$22</f>
        <v>100</v>
      </c>
    </row>
    <row r="16" customFormat="false" ht="15" hidden="false" customHeight="true" outlineLevel="0" collapsed="false">
      <c r="A16" s="4" t="s">
        <v>421</v>
      </c>
      <c r="B16" s="32" t="n">
        <v>20</v>
      </c>
      <c r="C16" s="3" t="n">
        <f aca="false">B16/$D$10</f>
        <v>2.35294117647059</v>
      </c>
      <c r="D16" s="3" t="n">
        <f aca="false">B16*$B$22</f>
        <v>66.6666666666667</v>
      </c>
    </row>
    <row r="17" customFormat="false" ht="15" hidden="false" customHeight="true" outlineLevel="0" collapsed="false">
      <c r="A17" s="4" t="s">
        <v>422</v>
      </c>
      <c r="B17" s="32" t="n">
        <v>200</v>
      </c>
      <c r="C17" s="3" t="n">
        <f aca="false">B17/$D$10</f>
        <v>23.5294117647059</v>
      </c>
      <c r="D17" s="3" t="n">
        <f aca="false">B17*$B$22</f>
        <v>666.666666666667</v>
      </c>
    </row>
    <row r="18" customFormat="false" ht="15" hidden="false" customHeight="true" outlineLevel="0" collapsed="false">
      <c r="A18" s="4" t="s">
        <v>423</v>
      </c>
      <c r="B18" s="32" t="n">
        <v>200</v>
      </c>
      <c r="C18" s="3" t="n">
        <f aca="false">B18/$D$10</f>
        <v>23.5294117647059</v>
      </c>
      <c r="D18" s="3" t="n">
        <f aca="false">B18*$B$22</f>
        <v>666.666666666667</v>
      </c>
    </row>
    <row r="20" customFormat="false" ht="15" hidden="false" customHeight="true" outlineLevel="0" collapsed="false">
      <c r="A20" s="12" t="s">
        <v>424</v>
      </c>
    </row>
    <row r="21" customFormat="false" ht="15" hidden="false" customHeight="true" outlineLevel="0" collapsed="false">
      <c r="A21" s="4" t="s">
        <v>425</v>
      </c>
      <c r="B21" s="3" t="n">
        <f aca="false">200/50</f>
        <v>4</v>
      </c>
    </row>
    <row r="22" customFormat="false" ht="15" hidden="false" customHeight="true" outlineLevel="0" collapsed="false">
      <c r="A22" s="4" t="s">
        <v>426</v>
      </c>
      <c r="B22" s="3" t="n">
        <f aca="false">500/150</f>
        <v>3.33333333333333</v>
      </c>
    </row>
    <row r="23" customFormat="false" ht="64.5" hidden="false" customHeight="true" outlineLevel="0" collapsed="false">
      <c r="A23" s="4" t="s">
        <v>427</v>
      </c>
      <c r="B23" s="3" t="n">
        <f aca="false">30*B22</f>
        <v>100</v>
      </c>
      <c r="C23" s="33" t="s">
        <v>428</v>
      </c>
    </row>
    <row r="25" customFormat="false" ht="15" hidden="false" customHeight="true" outlineLevel="0" collapsed="false">
      <c r="A25" s="12" t="s">
        <v>429</v>
      </c>
    </row>
    <row r="26" customFormat="false" ht="60" hidden="false" customHeight="true" outlineLevel="0" collapsed="false">
      <c r="A26" s="22" t="s">
        <v>430</v>
      </c>
      <c r="B26" s="22"/>
      <c r="C26" s="22"/>
      <c r="D26" s="22"/>
      <c r="E26" s="22"/>
      <c r="F26" s="22"/>
    </row>
  </sheetData>
  <mergeCells count="1">
    <mergeCell ref="A26:F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2026-06-10T22:54:00Z</dcterms:created>
  <dc:creator>openpyxl</dc:creator>
  <dc:description/>
  <dc:language>en-US</dc:language>
  <cp:lastModifiedBy/>
  <dcterms:modified xsi:type="dcterms:W3CDTF">2026-06-12T04:46:38Z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