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ier_Constants" sheetId="2" state="visible" r:id="rId4"/>
    <sheet name="Compounds" sheetId="3" state="visible" r:id="rId5"/>
    <sheet name="Recipes" sheetId="4" state="visible" r:id="rId6"/>
    <sheet name="Exotics" sheetId="5" state="visible" r:id="rId7"/>
    <sheet name="Event_Compounds" sheetId="6" state="visible" r:id="rId8"/>
    <sheet name="Valid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<sst xmlns="http://schemas.openxmlformats.org/spreadsheetml/2006/main" count="2514" uniqueCount="1011">
  <si>
    <t xml:space="preserve">PRECIPICE COMPOUND DATABASE v2 — companion to PRECIPICE_GAME_DESIGN_v4.6.md and PRECIPICE_ECONOMY_MODEL.xlsx (58-point cross-verification passed at v4.4; v4.5 changed no shared numbers — its rulings are implementation-seam only (doc Part E))</t>
  </si>
  <si>
    <t xml:space="preserve">CONTENT: 150 base compounds, 205 recipe mappings (188 pairs, 17 variable), 120 seeded Exotics, 7 Cascade event compounds.</t>
  </si>
  <si>
    <t xml:space="preserve">CHEMISTRY CONVENTIONS (v2 — the element-conservation rebuild):</t>
  </si>
  <si>
    <t xml:space="preserve">  1. THE ELEMENT LAW: T1 extraction is the game's only element faucet. The 30 T1 compounds carry the full 29-element palette; every higher compound's key elements must flow up from T1 through its recipe chain.</t>
  </si>
  <si>
    <t xml:space="preserve">  2. Synthesis recipes (T2-T4, and element-keyed T5) conserve metals: a result's key elements must be present in its inputs. Anions and atmosphere — O, C, N, S, Cl, I, H, F — are facility process feeds and are free. This makes mixed-oxide routes genuinely accurate (Zinc Titanate &lt;- a Zn source + a Ti source) and alloy/ceramic routes directionally plausible.</t>
  </si>
  <si>
    <t xml:space="preserve">  3. T1 discovery pairs do NOT conserve (you cannot make magnesium from sodium): per doc §6 they are analytical signatures that unlock extraction licenses, not syntheses. Shared-element pairs are preferred for flavor.</t>
  </si>
  <si>
    <t xml:space="preserve">  4. Variable pairs are POLYMORPH COUPLES: same reagents, two phases — both variants element-covered by the one pair. The seed picking the weekly phase is now chemically motivated fiction.</t>
  </si>
  <si>
    <t xml:space="preserve">  5. T5 process/structure names (Graphene Lattice, Metamaterial Substrate...) and all T6 names are frontier fiction, exempt from conservation. Cascade event compounds are event fiction, exempt. All authored recipes use two DISTINCT compounds; same-compound pairs exist only as joint declarations — always invalid at T4+T5/T5+T5 (fee, residue, no staging), always an Exotic at T6+T6 (doc §17, §23).</t>
  </si>
  <si>
    <t xml:space="preserve">EXOTICS: the doc (§23) says the server generates an Exotic on a pair's first completion. The Exotics sheet IS that generator's output, shipped as data — deterministic, name-collision-free, includes the doc's three example names at real slots. Server implementation is a table lookup. This is the implementation of §23, not a change to it.</t>
  </si>
  <si>
    <t xml:space="preserve">COLOR CODE: BLUE = authored content (edit). GREEN = formula links (never edit). Flavor text is draft copy — the only non-load-bearing column.</t>
  </si>
  <si>
    <t xml:space="preserve">REGENERATION: gen_compounds_v2.py, seed 92136505. Hand edits to recipe wiring are allowed but MUST re-run the structural checks — reachability and element flow cannot be eyeballed.</t>
  </si>
  <si>
    <t xml:space="preserve">KNOWN NUANCE: the economy model's Discovery_Costs 'valid' column counts mappings; valid PAIRS are slightly fewer where variable. Cost impact ~0.3%, immaterial, disclosed.</t>
  </si>
  <si>
    <t xml:space="preserve">TIER CONSTANTS (doc §5)</t>
  </si>
  <si>
    <t xml:space="preserve">Tier</t>
  </si>
  <si>
    <t xml:space="preserve">Time (min, online)</t>
  </si>
  <si>
    <t xml:space="preserve">Passive P/min</t>
  </si>
  <si>
    <t xml:space="preserve">Value min</t>
  </si>
  <si>
    <t xml:space="preserve">Value max</t>
  </si>
  <si>
    <t xml:space="preserve">COMPOUND DATABASE — 150 base compounds, element-conserving chemistry (PRECIPICE_GAME_DESIGN_v4.6 §4-§7)</t>
  </si>
  <si>
    <t xml:space="preserve">ID</t>
  </si>
  <si>
    <t xml:space="preserve">Name</t>
  </si>
  <si>
    <t xml:space="preserve">Starter</t>
  </si>
  <si>
    <t xml:space="preserve">Key elements</t>
  </si>
  <si>
    <t xml:space="preserve">Base value</t>
  </si>
  <si>
    <t xml:space="preserve">Time (min)</t>
  </si>
  <si>
    <t xml:space="preserve"># recipes producing</t>
  </si>
  <si>
    <t xml:space="preserve">Used as input</t>
  </si>
  <si>
    <t xml:space="preserve">Variable variant?</t>
  </si>
  <si>
    <t xml:space="preserve">Flavor (draft copy)</t>
  </si>
  <si>
    <t xml:space="preserve">T1_01</t>
  </si>
  <si>
    <t xml:space="preserve">Sodium Chloride</t>
  </si>
  <si>
    <t xml:space="preserve">YES</t>
  </si>
  <si>
    <t xml:space="preserve">Na</t>
  </si>
  <si>
    <t xml:space="preserve">Raw feedstock pulled straight from the extraction line.</t>
  </si>
  <si>
    <t xml:space="preserve">T1_02</t>
  </si>
  <si>
    <t xml:space="preserve">Calcium Oxide</t>
  </si>
  <si>
    <t xml:space="preserve">Ca</t>
  </si>
  <si>
    <t xml:space="preserve">A commodity-grade base material every lab burns through daily.</t>
  </si>
  <si>
    <t xml:space="preserve">T1_03</t>
  </si>
  <si>
    <t xml:space="preserve">Zinc Sulfate</t>
  </si>
  <si>
    <t xml:space="preserve">Zn</t>
  </si>
  <si>
    <t xml:space="preserve">Unremarkable on its own; indispensable in everything.</t>
  </si>
  <si>
    <t xml:space="preserve">T1_04</t>
  </si>
  <si>
    <t xml:space="preserve">Iron Acetate</t>
  </si>
  <si>
    <t xml:space="preserve">Fe</t>
  </si>
  <si>
    <t xml:space="preserve">The first thing a new researcher learns to extract.</t>
  </si>
  <si>
    <t xml:space="preserve">T1_05</t>
  </si>
  <si>
    <t xml:space="preserve">Potassium Iodide</t>
  </si>
  <si>
    <t xml:space="preserve">K</t>
  </si>
  <si>
    <t xml:space="preserve">Cheap, stable, and always in demand on the floor.</t>
  </si>
  <si>
    <t xml:space="preserve">T1_06</t>
  </si>
  <si>
    <t xml:space="preserve">Magnesium Chloride</t>
  </si>
  <si>
    <t xml:space="preserve">Mg</t>
  </si>
  <si>
    <t xml:space="preserve">T1_07</t>
  </si>
  <si>
    <t xml:space="preserve">Copper Sulfate</t>
  </si>
  <si>
    <t xml:space="preserve">Cu</t>
  </si>
  <si>
    <t xml:space="preserve">T1_08</t>
  </si>
  <si>
    <t xml:space="preserve">Aluminum Oxide</t>
  </si>
  <si>
    <t xml:space="preserve">Al</t>
  </si>
  <si>
    <t xml:space="preserve">T1_09</t>
  </si>
  <si>
    <t xml:space="preserve">Silicon Dioxide</t>
  </si>
  <si>
    <t xml:space="preserve">Si</t>
  </si>
  <si>
    <t xml:space="preserve">T1_10</t>
  </si>
  <si>
    <t xml:space="preserve">Titanium Dioxide</t>
  </si>
  <si>
    <t xml:space="preserve">Ti</t>
  </si>
  <si>
    <t xml:space="preserve">T1_11</t>
  </si>
  <si>
    <t xml:space="preserve">Manganese Dioxide</t>
  </si>
  <si>
    <t xml:space="preserve">Mn</t>
  </si>
  <si>
    <t xml:space="preserve">T1_12</t>
  </si>
  <si>
    <t xml:space="preserve">Cobalt Chloride</t>
  </si>
  <si>
    <t xml:space="preserve">Co</t>
  </si>
  <si>
    <t xml:space="preserve">T1_13</t>
  </si>
  <si>
    <t xml:space="preserve">Nickel Sulfate</t>
  </si>
  <si>
    <t xml:space="preserve">Ni</t>
  </si>
  <si>
    <t xml:space="preserve">T1_14</t>
  </si>
  <si>
    <t xml:space="preserve">Barium Carbonate</t>
  </si>
  <si>
    <t xml:space="preserve">Ba</t>
  </si>
  <si>
    <t xml:space="preserve">T1_15</t>
  </si>
  <si>
    <t xml:space="preserve">Strontium Carbonate</t>
  </si>
  <si>
    <t xml:space="preserve">Sr</t>
  </si>
  <si>
    <t xml:space="preserve">T1_16</t>
  </si>
  <si>
    <t xml:space="preserve">Lithium Carbonate</t>
  </si>
  <si>
    <t xml:space="preserve">Li</t>
  </si>
  <si>
    <t xml:space="preserve">T1_17</t>
  </si>
  <si>
    <t xml:space="preserve">Chromium Oxide</t>
  </si>
  <si>
    <t xml:space="preserve">Cr</t>
  </si>
  <si>
    <t xml:space="preserve">T1_18</t>
  </si>
  <si>
    <t xml:space="preserve">Tin Oxide</t>
  </si>
  <si>
    <t xml:space="preserve">Sn</t>
  </si>
  <si>
    <t xml:space="preserve">T1_19</t>
  </si>
  <si>
    <t xml:space="preserve">Tungsten Oxide</t>
  </si>
  <si>
    <t xml:space="preserve">W</t>
  </si>
  <si>
    <t xml:space="preserve">T1_20</t>
  </si>
  <si>
    <t xml:space="preserve">Vanadium Pentoxide</t>
  </si>
  <si>
    <t xml:space="preserve">V</t>
  </si>
  <si>
    <t xml:space="preserve">T1_21</t>
  </si>
  <si>
    <t xml:space="preserve">Molybdenum Trioxide</t>
  </si>
  <si>
    <t xml:space="preserve">Mo</t>
  </si>
  <si>
    <t xml:space="preserve">T1_22</t>
  </si>
  <si>
    <t xml:space="preserve">Zirconium Silicate</t>
  </si>
  <si>
    <t xml:space="preserve">Si, Zr</t>
  </si>
  <si>
    <t xml:space="preserve">T1_23</t>
  </si>
  <si>
    <t xml:space="preserve">Niobium Pentoxide</t>
  </si>
  <si>
    <t xml:space="preserve">Nb</t>
  </si>
  <si>
    <t xml:space="preserve">T1_24</t>
  </si>
  <si>
    <t xml:space="preserve">Bismuth Oxide</t>
  </si>
  <si>
    <t xml:space="preserve">Bi</t>
  </si>
  <si>
    <t xml:space="preserve">T1_25</t>
  </si>
  <si>
    <t xml:space="preserve">Cerium Oxide</t>
  </si>
  <si>
    <t xml:space="preserve">Ce</t>
  </si>
  <si>
    <t xml:space="preserve">T1_26</t>
  </si>
  <si>
    <t xml:space="preserve">Yttrium Oxide</t>
  </si>
  <si>
    <t xml:space="preserve">Y</t>
  </si>
  <si>
    <t xml:space="preserve">T1_27</t>
  </si>
  <si>
    <t xml:space="preserve">Lanthanum Carbonate</t>
  </si>
  <si>
    <t xml:space="preserve">La</t>
  </si>
  <si>
    <t xml:space="preserve">T1_28</t>
  </si>
  <si>
    <t xml:space="preserve">Sodium Borate</t>
  </si>
  <si>
    <t xml:space="preserve">B, Na</t>
  </si>
  <si>
    <t xml:space="preserve">T1_29</t>
  </si>
  <si>
    <t xml:space="preserve">Calcium Fluoride</t>
  </si>
  <si>
    <t xml:space="preserve">T1_30</t>
  </si>
  <si>
    <t xml:space="preserve">Sodium Phosphate</t>
  </si>
  <si>
    <t xml:space="preserve">Na, P</t>
  </si>
  <si>
    <t xml:space="preserve">T2_01</t>
  </si>
  <si>
    <t xml:space="preserve">Zinc Titanate</t>
  </si>
  <si>
    <t xml:space="preserve">Ti, Zn</t>
  </si>
  <si>
    <t xml:space="preserve">A first-stage synthesis product with reliable industrial uses.</t>
  </si>
  <si>
    <t xml:space="preserve">T2_02</t>
  </si>
  <si>
    <t xml:space="preserve">Zinc Salt</t>
  </si>
  <si>
    <t xml:space="preserve">The kind of compound that fills a thousand supply contracts.</t>
  </si>
  <si>
    <t xml:space="preserve">T2_03</t>
  </si>
  <si>
    <t xml:space="preserve">Calcium Silicate</t>
  </si>
  <si>
    <t xml:space="preserve">Ca, Si</t>
  </si>
  <si>
    <t xml:space="preserve">Stable under pressure; the workhorse of early research.</t>
  </si>
  <si>
    <t xml:space="preserve">T2_04</t>
  </si>
  <si>
    <t xml:space="preserve">Sodium Aluminate</t>
  </si>
  <si>
    <t xml:space="preserve">Al, Na</t>
  </si>
  <si>
    <t xml:space="preserve">Two feedstocks in, one dependable product out.</t>
  </si>
  <si>
    <t xml:space="preserve">T2_05</t>
  </si>
  <si>
    <t xml:space="preserve">Copper Carbonate</t>
  </si>
  <si>
    <t xml:space="preserve">Found in every mid-shelf vault in the facility.</t>
  </si>
  <si>
    <t xml:space="preserve">T2_06</t>
  </si>
  <si>
    <t xml:space="preserve">Iron Phosphate</t>
  </si>
  <si>
    <t xml:space="preserve">Fe, P</t>
  </si>
  <si>
    <t xml:space="preserve">T2_07</t>
  </si>
  <si>
    <t xml:space="preserve">Magnesium Titanate</t>
  </si>
  <si>
    <t xml:space="preserve">Mg, Ti</t>
  </si>
  <si>
    <t xml:space="preserve">T2_08</t>
  </si>
  <si>
    <t xml:space="preserve">Barium Titanate</t>
  </si>
  <si>
    <t xml:space="preserve">Ba, Ti</t>
  </si>
  <si>
    <t xml:space="preserve">T2_09</t>
  </si>
  <si>
    <t xml:space="preserve">Lithium Phosphate</t>
  </si>
  <si>
    <t xml:space="preserve">Li, P</t>
  </si>
  <si>
    <t xml:space="preserve">T2_10</t>
  </si>
  <si>
    <t xml:space="preserve">Nickel Carbonate</t>
  </si>
  <si>
    <t xml:space="preserve">T2_11</t>
  </si>
  <si>
    <t xml:space="preserve">Cobalt Sulfide</t>
  </si>
  <si>
    <t xml:space="preserve">T2_12</t>
  </si>
  <si>
    <t xml:space="preserve">Manganese Ferrite</t>
  </si>
  <si>
    <t xml:space="preserve">Fe, Mn</t>
  </si>
  <si>
    <t xml:space="preserve">T2_13</t>
  </si>
  <si>
    <t xml:space="preserve">Zinc Ferrite</t>
  </si>
  <si>
    <t xml:space="preserve">Fe, Zn</t>
  </si>
  <si>
    <t xml:space="preserve">T2_14</t>
  </si>
  <si>
    <t xml:space="preserve">Silicon Carbide</t>
  </si>
  <si>
    <t xml:space="preserve">T2_15</t>
  </si>
  <si>
    <t xml:space="preserve">Aluminum Nitride</t>
  </si>
  <si>
    <t xml:space="preserve">T2_16</t>
  </si>
  <si>
    <t xml:space="preserve">Titanium Carbide</t>
  </si>
  <si>
    <t xml:space="preserve">T2_17</t>
  </si>
  <si>
    <t xml:space="preserve">Potassium Silicate</t>
  </si>
  <si>
    <t xml:space="preserve">K, Si</t>
  </si>
  <si>
    <t xml:space="preserve">T2_18</t>
  </si>
  <si>
    <t xml:space="preserve">Copper Aluminate</t>
  </si>
  <si>
    <t xml:space="preserve">Al, Cu</t>
  </si>
  <si>
    <t xml:space="preserve">T2_19</t>
  </si>
  <si>
    <t xml:space="preserve">Iron Silicide</t>
  </si>
  <si>
    <t xml:space="preserve">Fe, Si</t>
  </si>
  <si>
    <t xml:space="preserve">T2_20</t>
  </si>
  <si>
    <t xml:space="preserve">Magnesium Borate</t>
  </si>
  <si>
    <t xml:space="preserve">B, Mg</t>
  </si>
  <si>
    <t xml:space="preserve">T2_21</t>
  </si>
  <si>
    <t xml:space="preserve">Calcium Zirconate</t>
  </si>
  <si>
    <t xml:space="preserve">Ca, Zr</t>
  </si>
  <si>
    <t xml:space="preserve">T2_22</t>
  </si>
  <si>
    <t xml:space="preserve">Strontium Titanate</t>
  </si>
  <si>
    <t xml:space="preserve">Sr, Ti</t>
  </si>
  <si>
    <t xml:space="preserve">T2_23</t>
  </si>
  <si>
    <t xml:space="preserve">Lithium Niobate</t>
  </si>
  <si>
    <t xml:space="preserve">Li, Nb</t>
  </si>
  <si>
    <t xml:space="preserve">T2_24</t>
  </si>
  <si>
    <t xml:space="preserve">Barium Ferrite</t>
  </si>
  <si>
    <t xml:space="preserve">Ba, Fe</t>
  </si>
  <si>
    <t xml:space="preserve">T2_25</t>
  </si>
  <si>
    <t xml:space="preserve">Sodium Tungstate</t>
  </si>
  <si>
    <t xml:space="preserve">Na, W</t>
  </si>
  <si>
    <t xml:space="preserve">T2_26</t>
  </si>
  <si>
    <t xml:space="preserve">Calcium Molybdate</t>
  </si>
  <si>
    <t xml:space="preserve">Ca, Mo</t>
  </si>
  <si>
    <t xml:space="preserve">T2_27</t>
  </si>
  <si>
    <t xml:space="preserve">Vanadium Carbide</t>
  </si>
  <si>
    <t xml:space="preserve">T2_28</t>
  </si>
  <si>
    <t xml:space="preserve">Chromium Nitride</t>
  </si>
  <si>
    <t xml:space="preserve">T2_29</t>
  </si>
  <si>
    <t xml:space="preserve">Cerium Phosphate</t>
  </si>
  <si>
    <t xml:space="preserve">Ce, P</t>
  </si>
  <si>
    <t xml:space="preserve">T2_30</t>
  </si>
  <si>
    <t xml:space="preserve">Yttrium Aluminate</t>
  </si>
  <si>
    <t xml:space="preserve">Al, Y</t>
  </si>
  <si>
    <t xml:space="preserve">T3_01</t>
  </si>
  <si>
    <t xml:space="preserve">Borosilicate Glass</t>
  </si>
  <si>
    <t xml:space="preserve">B, Si</t>
  </si>
  <si>
    <t xml:space="preserve">A precision intermediate that separates hobbyists from researchers.</t>
  </si>
  <si>
    <t xml:space="preserve">T3_02</t>
  </si>
  <si>
    <t xml:space="preserve">Ferrochrome Alloy</t>
  </si>
  <si>
    <t xml:space="preserve">Cr, Fe</t>
  </si>
  <si>
    <t xml:space="preserve">Demands real process control; rewards it with real margins.</t>
  </si>
  <si>
    <t xml:space="preserve">T3_03</t>
  </si>
  <si>
    <t xml:space="preserve">Cupronickel Matrix</t>
  </si>
  <si>
    <t xml:space="preserve">Cu, Ni</t>
  </si>
  <si>
    <t xml:space="preserve">The backbone of serious mid-tier production chains.</t>
  </si>
  <si>
    <t xml:space="preserve">T3_04</t>
  </si>
  <si>
    <t xml:space="preserve">Titanium Aluminide</t>
  </si>
  <si>
    <t xml:space="preserve">Al, Ti</t>
  </si>
  <si>
    <t xml:space="preserve">Trickier to stabilize than it looks on the formula sheet.</t>
  </si>
  <si>
    <t xml:space="preserve">T3_05</t>
  </si>
  <si>
    <t xml:space="preserve">Zirconium Carbide</t>
  </si>
  <si>
    <t xml:space="preserve">Zr</t>
  </si>
  <si>
    <t xml:space="preserve">Where the Formula Lab starts earning its keep.</t>
  </si>
  <si>
    <t xml:space="preserve">T3_06</t>
  </si>
  <si>
    <t xml:space="preserve">Tungsten Carbide</t>
  </si>
  <si>
    <t xml:space="preserve">T3_07</t>
  </si>
  <si>
    <t xml:space="preserve">Cobalt Aluminate</t>
  </si>
  <si>
    <t xml:space="preserve">Al, Co</t>
  </si>
  <si>
    <t xml:space="preserve">T3_08</t>
  </si>
  <si>
    <t xml:space="preserve">Nickel Superalloy</t>
  </si>
  <si>
    <t xml:space="preserve">Cr, Ni</t>
  </si>
  <si>
    <t xml:space="preserve">T3_09</t>
  </si>
  <si>
    <t xml:space="preserve">Lanthanum Aluminate</t>
  </si>
  <si>
    <t xml:space="preserve">Al, La</t>
  </si>
  <si>
    <t xml:space="preserve">T3_10</t>
  </si>
  <si>
    <t xml:space="preserve">Yttrium Garnet</t>
  </si>
  <si>
    <t xml:space="preserve">T3_11</t>
  </si>
  <si>
    <t xml:space="preserve">Bismuth Vanadate</t>
  </si>
  <si>
    <t xml:space="preserve">Bi, V</t>
  </si>
  <si>
    <t xml:space="preserve">T3_12</t>
  </si>
  <si>
    <t xml:space="preserve">Molybdenum Disilicide</t>
  </si>
  <si>
    <t xml:space="preserve">Mo, Si</t>
  </si>
  <si>
    <t xml:space="preserve">T3_13</t>
  </si>
  <si>
    <t xml:space="preserve">Chromium Silicide</t>
  </si>
  <si>
    <t xml:space="preserve">Cr, Si</t>
  </si>
  <si>
    <t xml:space="preserve">T3_14</t>
  </si>
  <si>
    <t xml:space="preserve">Manganese Bronze</t>
  </si>
  <si>
    <t xml:space="preserve">Cu, Mn</t>
  </si>
  <si>
    <t xml:space="preserve">T3_15</t>
  </si>
  <si>
    <t xml:space="preserve">Phosphor Bronze</t>
  </si>
  <si>
    <t xml:space="preserve">Cu, P</t>
  </si>
  <si>
    <t xml:space="preserve">T3_16</t>
  </si>
  <si>
    <t xml:space="preserve">Magnesium Spinel</t>
  </si>
  <si>
    <t xml:space="preserve">Al, Mg</t>
  </si>
  <si>
    <t xml:space="preserve">T3_17</t>
  </si>
  <si>
    <t xml:space="preserve">Lithium Titanate Spinel</t>
  </si>
  <si>
    <t xml:space="preserve">Li, Ti</t>
  </si>
  <si>
    <t xml:space="preserve">T3_18</t>
  </si>
  <si>
    <t xml:space="preserve">Barium Zirconate</t>
  </si>
  <si>
    <t xml:space="preserve">Ba, Zr</t>
  </si>
  <si>
    <t xml:space="preserve">T3_19</t>
  </si>
  <si>
    <t xml:space="preserve">Strontium Ferrite</t>
  </si>
  <si>
    <t xml:space="preserve">Fe, Sr</t>
  </si>
  <si>
    <t xml:space="preserve">T3_20</t>
  </si>
  <si>
    <t xml:space="preserve">Zinc Stannate</t>
  </si>
  <si>
    <t xml:space="preserve">Sn, Zn</t>
  </si>
  <si>
    <t xml:space="preserve">T3_21</t>
  </si>
  <si>
    <t xml:space="preserve">Tungsten Bronze</t>
  </si>
  <si>
    <t xml:space="preserve">T3_22</t>
  </si>
  <si>
    <t xml:space="preserve">Vanadium Steel</t>
  </si>
  <si>
    <t xml:space="preserve">Fe, V</t>
  </si>
  <si>
    <t xml:space="preserve">T3_23</t>
  </si>
  <si>
    <t xml:space="preserve">Cobalt Ferrite</t>
  </si>
  <si>
    <t xml:space="preserve">Co, Fe</t>
  </si>
  <si>
    <t xml:space="preserve">T3_24</t>
  </si>
  <si>
    <t xml:space="preserve">Nickel-Titanium Ingot</t>
  </si>
  <si>
    <t xml:space="preserve">Ni, Ti</t>
  </si>
  <si>
    <t xml:space="preserve">T3_25</t>
  </si>
  <si>
    <t xml:space="preserve">Cerium Zirconate</t>
  </si>
  <si>
    <t xml:space="preserve">Ce, Zr</t>
  </si>
  <si>
    <t xml:space="preserve">T3_26</t>
  </si>
  <si>
    <t xml:space="preserve">Calcium Hexaboride</t>
  </si>
  <si>
    <t xml:space="preserve">B, Ca</t>
  </si>
  <si>
    <t xml:space="preserve">T3_27</t>
  </si>
  <si>
    <t xml:space="preserve">Copper Tungstate</t>
  </si>
  <si>
    <t xml:space="preserve">Cu, W</t>
  </si>
  <si>
    <t xml:space="preserve">T3_28</t>
  </si>
  <si>
    <t xml:space="preserve">Niobium Carbide</t>
  </si>
  <si>
    <t xml:space="preserve">T3_29</t>
  </si>
  <si>
    <t xml:space="preserve">Sodium Niobate</t>
  </si>
  <si>
    <t xml:space="preserve">Na, Nb</t>
  </si>
  <si>
    <t xml:space="preserve">T3_30</t>
  </si>
  <si>
    <t xml:space="preserve">Lanthanum Manganite</t>
  </si>
  <si>
    <t xml:space="preserve">La, Mn</t>
  </si>
  <si>
    <t xml:space="preserve">T4_01</t>
  </si>
  <si>
    <t xml:space="preserve">Synthetic Corundum</t>
  </si>
  <si>
    <t xml:space="preserve">Advanced materials work — the reaction window is unforgiving.</t>
  </si>
  <si>
    <t xml:space="preserve">T4_02</t>
  </si>
  <si>
    <t xml:space="preserve">Cubic Boron Nitride</t>
  </si>
  <si>
    <t xml:space="preserve">B</t>
  </si>
  <si>
    <t xml:space="preserve">High-value output that turns heads on the open market.</t>
  </si>
  <si>
    <t xml:space="preserve">T4_03</t>
  </si>
  <si>
    <t xml:space="preserve">Pyrolytic Graphite</t>
  </si>
  <si>
    <t xml:space="preserve">(process/structure)</t>
  </si>
  <si>
    <t xml:space="preserve">A long, committed synthesis with a payoff to match.</t>
  </si>
  <si>
    <t xml:space="preserve">T4_04</t>
  </si>
  <si>
    <t xml:space="preserve">Fused Silica Composite</t>
  </si>
  <si>
    <t xml:space="preserve">The tier where patents start being worth defending.</t>
  </si>
  <si>
    <t xml:space="preserve">T4_05</t>
  </si>
  <si>
    <t xml:space="preserve">Amorphous Ferrosilicon</t>
  </si>
  <si>
    <t xml:space="preserve">Engineered for properties that don't occur in nature.</t>
  </si>
  <si>
    <t xml:space="preserve">T4_06</t>
  </si>
  <si>
    <t xml:space="preserve">Single-Crystal Sapphire</t>
  </si>
  <si>
    <t xml:space="preserve">T4_07</t>
  </si>
  <si>
    <t xml:space="preserve">Stabilized Zirconia</t>
  </si>
  <si>
    <t xml:space="preserve">T4_08</t>
  </si>
  <si>
    <t xml:space="preserve">Photonic Silica</t>
  </si>
  <si>
    <t xml:space="preserve">T4_09</t>
  </si>
  <si>
    <t xml:space="preserve">Superconducting Niobate</t>
  </si>
  <si>
    <t xml:space="preserve">T4_10</t>
  </si>
  <si>
    <t xml:space="preserve">Carbon Nanoweave</t>
  </si>
  <si>
    <t xml:space="preserve">T4_11</t>
  </si>
  <si>
    <t xml:space="preserve">Aerogel Substrate</t>
  </si>
  <si>
    <t xml:space="preserve">T4_12</t>
  </si>
  <si>
    <t xml:space="preserve">Metallic Glass</t>
  </si>
  <si>
    <t xml:space="preserve">Cu, Zr</t>
  </si>
  <si>
    <t xml:space="preserve">T4_13</t>
  </si>
  <si>
    <t xml:space="preserve">Shape-Memory Nitinol</t>
  </si>
  <si>
    <t xml:space="preserve">T4_14</t>
  </si>
  <si>
    <t xml:space="preserve">Piezoelectric Quartzite</t>
  </si>
  <si>
    <t xml:space="preserve">T4_15</t>
  </si>
  <si>
    <t xml:space="preserve">Thermoelectric Bismuthide</t>
  </si>
  <si>
    <t xml:space="preserve">T4_16</t>
  </si>
  <si>
    <t xml:space="preserve">Ferrofluid Concentrate</t>
  </si>
  <si>
    <t xml:space="preserve">T4_17</t>
  </si>
  <si>
    <t xml:space="preserve">Electrochromic Oxide</t>
  </si>
  <si>
    <t xml:space="preserve">T4_18</t>
  </si>
  <si>
    <t xml:space="preserve">Photoluminescent Phosphor</t>
  </si>
  <si>
    <t xml:space="preserve">Ce, Y</t>
  </si>
  <si>
    <t xml:space="preserve">T4_19</t>
  </si>
  <si>
    <t xml:space="preserve">Dielectric Ceramite</t>
  </si>
  <si>
    <t xml:space="preserve">T4_20</t>
  </si>
  <si>
    <t xml:space="preserve">Optical Fluorite</t>
  </si>
  <si>
    <t xml:space="preserve">T4_21</t>
  </si>
  <si>
    <t xml:space="preserve">Refractory Carbide</t>
  </si>
  <si>
    <t xml:space="preserve">T4_22</t>
  </si>
  <si>
    <t xml:space="preserve">Conductive Polymer Base</t>
  </si>
  <si>
    <t xml:space="preserve">T4_23</t>
  </si>
  <si>
    <t xml:space="preserve">Magnetocaloric Alloy</t>
  </si>
  <si>
    <t xml:space="preserve">Fe, La</t>
  </si>
  <si>
    <t xml:space="preserve">T4_24</t>
  </si>
  <si>
    <t xml:space="preserve">Catalytic Vanadia</t>
  </si>
  <si>
    <t xml:space="preserve">T4_25</t>
  </si>
  <si>
    <t xml:space="preserve">Hard Anodize Composite</t>
  </si>
  <si>
    <t xml:space="preserve">T5_01</t>
  </si>
  <si>
    <t xml:space="preserve">Zinc Polymer</t>
  </si>
  <si>
    <t xml:space="preserve">Frontier chemistry; the patent wars live at this tier.</t>
  </si>
  <si>
    <t xml:space="preserve">T5_02</t>
  </si>
  <si>
    <t xml:space="preserve">Quantum Dot Suspension</t>
  </si>
  <si>
    <t xml:space="preserve">Syndicate-grade output with a price to match the timer.</t>
  </si>
  <si>
    <t xml:space="preserve">T5_03</t>
  </si>
  <si>
    <t xml:space="preserve">Graphene Lattice</t>
  </si>
  <si>
    <t xml:space="preserve">Eight hours of reaction time and worth every minute.</t>
  </si>
  <si>
    <t xml:space="preserve">T5_04</t>
  </si>
  <si>
    <t xml:space="preserve">Carbon Nanotube Array</t>
  </si>
  <si>
    <t xml:space="preserve">The last solo rung before joint research begins.</t>
  </si>
  <si>
    <t xml:space="preserve">T5_05</t>
  </si>
  <si>
    <t xml:space="preserve">Metamaterial Substrate</t>
  </si>
  <si>
    <t xml:space="preserve">Production at this tier is a statement, not a transaction.</t>
  </si>
  <si>
    <t xml:space="preserve">T5_06</t>
  </si>
  <si>
    <t xml:space="preserve">Topological Insulator</t>
  </si>
  <si>
    <t xml:space="preserve">T5_07</t>
  </si>
  <si>
    <t xml:space="preserve">Superfluid Matrix</t>
  </si>
  <si>
    <t xml:space="preserve">T5_08</t>
  </si>
  <si>
    <t xml:space="preserve">Photonic Crystal</t>
  </si>
  <si>
    <t xml:space="preserve">T5_09</t>
  </si>
  <si>
    <t xml:space="preserve">Spintronic Alloy</t>
  </si>
  <si>
    <t xml:space="preserve">T5_10</t>
  </si>
  <si>
    <t xml:space="preserve">Plasmonic Composite</t>
  </si>
  <si>
    <t xml:space="preserve">T5_11</t>
  </si>
  <si>
    <t xml:space="preserve">Bose Condensate Gel</t>
  </si>
  <si>
    <t xml:space="preserve">T5_12</t>
  </si>
  <si>
    <t xml:space="preserve">Programmable Matter Seed</t>
  </si>
  <si>
    <t xml:space="preserve">T5_13</t>
  </si>
  <si>
    <t xml:space="preserve">Self-Healing Polymer</t>
  </si>
  <si>
    <t xml:space="preserve">T5_14</t>
  </si>
  <si>
    <t xml:space="preserve">Diamond Nanothread</t>
  </si>
  <si>
    <t xml:space="preserve">T5_15</t>
  </si>
  <si>
    <t xml:space="preserve">Borophene Sheet</t>
  </si>
  <si>
    <t xml:space="preserve">T5_16</t>
  </si>
  <si>
    <t xml:space="preserve">Stanene Film</t>
  </si>
  <si>
    <t xml:space="preserve">T5_17</t>
  </si>
  <si>
    <t xml:space="preserve">Perovskite Cell</t>
  </si>
  <si>
    <t xml:space="preserve">Ca, Ti</t>
  </si>
  <si>
    <t xml:space="preserve">T5_18</t>
  </si>
  <si>
    <t xml:space="preserve">Memristive Compound</t>
  </si>
  <si>
    <t xml:space="preserve">T5_19</t>
  </si>
  <si>
    <t xml:space="preserve">Auxetic Foam</t>
  </si>
  <si>
    <t xml:space="preserve">T5_20</t>
  </si>
  <si>
    <t xml:space="preserve">Ionic Liquid Crystal</t>
  </si>
  <si>
    <t xml:space="preserve">T6_01</t>
  </si>
  <si>
    <t xml:space="preserve">Stabilized Muonium</t>
  </si>
  <si>
    <t xml:space="preserve">Joint research only — no single lab can hold this reaction.</t>
  </si>
  <si>
    <t xml:space="preserve">T6_02</t>
  </si>
  <si>
    <t xml:space="preserve">Coherent Plasma Lattice</t>
  </si>
  <si>
    <t xml:space="preserve">A 24-hour coordinated synthesis at the edge of the possible.</t>
  </si>
  <si>
    <t xml:space="preserve">T6_03</t>
  </si>
  <si>
    <t xml:space="preserve">Isochronal Lattice</t>
  </si>
  <si>
    <t xml:space="preserve">The kind of compound that gets announced across every server.</t>
  </si>
  <si>
    <t xml:space="preserve">T6_04</t>
  </si>
  <si>
    <t xml:space="preserve">Vacuum-Phase Crystal</t>
  </si>
  <si>
    <t xml:space="preserve">Two qualified researchers, one shared reaction, no shortcuts.</t>
  </si>
  <si>
    <t xml:space="preserve">T6_05</t>
  </si>
  <si>
    <t xml:space="preserve">Chronostable Isotope</t>
  </si>
  <si>
    <t xml:space="preserve">Endgame chemistry; the dividend stream proves it.</t>
  </si>
  <si>
    <t xml:space="preserve">T6_06</t>
  </si>
  <si>
    <t xml:space="preserve">Dark Lattice Composite</t>
  </si>
  <si>
    <t xml:space="preserve">T6_07</t>
  </si>
  <si>
    <t xml:space="preserve">Zero-Point Substrate</t>
  </si>
  <si>
    <t xml:space="preserve">T6_08</t>
  </si>
  <si>
    <t xml:space="preserve">Entangled Matrix</t>
  </si>
  <si>
    <t xml:space="preserve">T6_09</t>
  </si>
  <si>
    <t xml:space="preserve">Femtosecond Glass</t>
  </si>
  <si>
    <t xml:space="preserve">T6_10</t>
  </si>
  <si>
    <t xml:space="preserve">Degenerate Matter Pellet</t>
  </si>
  <si>
    <t xml:space="preserve">T6_11</t>
  </si>
  <si>
    <t xml:space="preserve">Hyperdense Ceramic</t>
  </si>
  <si>
    <t xml:space="preserve">T6_12</t>
  </si>
  <si>
    <t xml:space="preserve">Singularity Alloy</t>
  </si>
  <si>
    <t xml:space="preserve">T6_13</t>
  </si>
  <si>
    <t xml:space="preserve">Antiferric Compound</t>
  </si>
  <si>
    <t xml:space="preserve">T6_14</t>
  </si>
  <si>
    <t xml:space="preserve">Quantum Foam Stabilizate</t>
  </si>
  <si>
    <t xml:space="preserve">T6_15</t>
  </si>
  <si>
    <t xml:space="preserve">Picoscale Architect</t>
  </si>
  <si>
    <t xml:space="preserve">RECIPE DATABASE — 205 mappings, element-conserving (metals from inputs; O/C/N/S/Cl/I/H/F are facility process feeds)</t>
  </si>
  <si>
    <t xml:space="preserve">Recipe ID</t>
  </si>
  <si>
    <t xml:space="preserve">Result ID</t>
  </si>
  <si>
    <t xml:space="preserve">Result name</t>
  </si>
  <si>
    <t xml:space="preserve">Result tier</t>
  </si>
  <si>
    <t xml:space="preserve">Input 1 ID</t>
  </si>
  <si>
    <t xml:space="preserve">Input 1 name</t>
  </si>
  <si>
    <t xml:space="preserve">Input 2 ID</t>
  </si>
  <si>
    <t xml:space="preserve">Input 2 name</t>
  </si>
  <si>
    <t xml:space="preserve">Pair type</t>
  </si>
  <si>
    <t xml:space="preserve">Variable pair ID</t>
  </si>
  <si>
    <t xml:space="preserve">Input class</t>
  </si>
  <si>
    <t xml:space="preserve">R001</t>
  </si>
  <si>
    <t xml:space="preserve">simple</t>
  </si>
  <si>
    <t xml:space="preserve">T1+T1-&gt;T2</t>
  </si>
  <si>
    <t xml:space="preserve">R002</t>
  </si>
  <si>
    <t xml:space="preserve">R003</t>
  </si>
  <si>
    <t xml:space="preserve">R004</t>
  </si>
  <si>
    <t xml:space="preserve">R005</t>
  </si>
  <si>
    <t xml:space="preserve">R006</t>
  </si>
  <si>
    <t xml:space="preserve">R007</t>
  </si>
  <si>
    <t xml:space="preserve">R008</t>
  </si>
  <si>
    <t xml:space="preserve">R009</t>
  </si>
  <si>
    <t xml:space="preserve">R010</t>
  </si>
  <si>
    <t xml:space="preserve">R011</t>
  </si>
  <si>
    <t xml:space="preserve">R012</t>
  </si>
  <si>
    <t xml:space="preserve">R013</t>
  </si>
  <si>
    <t xml:space="preserve">R014</t>
  </si>
  <si>
    <t xml:space="preserve">R015</t>
  </si>
  <si>
    <t xml:space="preserve">R016</t>
  </si>
  <si>
    <t xml:space="preserve">R017</t>
  </si>
  <si>
    <t xml:space="preserve">R018</t>
  </si>
  <si>
    <t xml:space="preserve">R019</t>
  </si>
  <si>
    <t xml:space="preserve">R020</t>
  </si>
  <si>
    <t xml:space="preserve">R021</t>
  </si>
  <si>
    <t xml:space="preserve">R022</t>
  </si>
  <si>
    <t xml:space="preserve">R023</t>
  </si>
  <si>
    <t xml:space="preserve">R024</t>
  </si>
  <si>
    <t xml:space="preserve">R025</t>
  </si>
  <si>
    <t xml:space="preserve">R026</t>
  </si>
  <si>
    <t xml:space="preserve">R027</t>
  </si>
  <si>
    <t xml:space="preserve">R028</t>
  </si>
  <si>
    <t xml:space="preserve">R029</t>
  </si>
  <si>
    <t xml:space="preserve">R030</t>
  </si>
  <si>
    <t xml:space="preserve">R031</t>
  </si>
  <si>
    <t xml:space="preserve">R032</t>
  </si>
  <si>
    <t xml:space="preserve">R033</t>
  </si>
  <si>
    <t xml:space="preserve">R034</t>
  </si>
  <si>
    <t xml:space="preserve">R035</t>
  </si>
  <si>
    <t xml:space="preserve">R036</t>
  </si>
  <si>
    <t xml:space="preserve">R037</t>
  </si>
  <si>
    <t xml:space="preserve">R038</t>
  </si>
  <si>
    <t xml:space="preserve">R039</t>
  </si>
  <si>
    <t xml:space="preserve">R040</t>
  </si>
  <si>
    <t xml:space="preserve">R041</t>
  </si>
  <si>
    <t xml:space="preserve">T1+T1-&gt;T1</t>
  </si>
  <si>
    <t xml:space="preserve">R042</t>
  </si>
  <si>
    <t xml:space="preserve">R043</t>
  </si>
  <si>
    <t xml:space="preserve">R044</t>
  </si>
  <si>
    <t xml:space="preserve">R045</t>
  </si>
  <si>
    <t xml:space="preserve">R046</t>
  </si>
  <si>
    <t xml:space="preserve">R047</t>
  </si>
  <si>
    <t xml:space="preserve">R048</t>
  </si>
  <si>
    <t xml:space="preserve">R049</t>
  </si>
  <si>
    <t xml:space="preserve">R050</t>
  </si>
  <si>
    <t xml:space="preserve">R051</t>
  </si>
  <si>
    <t xml:space="preserve">R052</t>
  </si>
  <si>
    <t xml:space="preserve">R053</t>
  </si>
  <si>
    <t xml:space="preserve">R054</t>
  </si>
  <si>
    <t xml:space="preserve">R055</t>
  </si>
  <si>
    <t xml:space="preserve">R056</t>
  </si>
  <si>
    <t xml:space="preserve">R057</t>
  </si>
  <si>
    <t xml:space="preserve">R058</t>
  </si>
  <si>
    <t xml:space="preserve">R059</t>
  </si>
  <si>
    <t xml:space="preserve">R060</t>
  </si>
  <si>
    <t xml:space="preserve">R061</t>
  </si>
  <si>
    <t xml:space="preserve">R062</t>
  </si>
  <si>
    <t xml:space="preserve">R063</t>
  </si>
  <si>
    <t xml:space="preserve">R064</t>
  </si>
  <si>
    <t xml:space="preserve">R065</t>
  </si>
  <si>
    <t xml:space="preserve">R066</t>
  </si>
  <si>
    <t xml:space="preserve">T1+T2-&gt;T3</t>
  </si>
  <si>
    <t xml:space="preserve">R067</t>
  </si>
  <si>
    <t xml:space="preserve">R068</t>
  </si>
  <si>
    <t xml:space="preserve">R069</t>
  </si>
  <si>
    <t xml:space="preserve">R070</t>
  </si>
  <si>
    <t xml:space="preserve">R071</t>
  </si>
  <si>
    <t xml:space="preserve">R072</t>
  </si>
  <si>
    <t xml:space="preserve">R073</t>
  </si>
  <si>
    <t xml:space="preserve">R074</t>
  </si>
  <si>
    <t xml:space="preserve">R075</t>
  </si>
  <si>
    <t xml:space="preserve">R076</t>
  </si>
  <si>
    <t xml:space="preserve">R077</t>
  </si>
  <si>
    <t xml:space="preserve">R078</t>
  </si>
  <si>
    <t xml:space="preserve">R079</t>
  </si>
  <si>
    <t xml:space="preserve">R080</t>
  </si>
  <si>
    <t xml:space="preserve">R081</t>
  </si>
  <si>
    <t xml:space="preserve">R082</t>
  </si>
  <si>
    <t xml:space="preserve">R083</t>
  </si>
  <si>
    <t xml:space="preserve">R084</t>
  </si>
  <si>
    <t xml:space="preserve">T2+T2-&gt;T3</t>
  </si>
  <si>
    <t xml:space="preserve">R085</t>
  </si>
  <si>
    <t xml:space="preserve">R086</t>
  </si>
  <si>
    <t xml:space="preserve">R087</t>
  </si>
  <si>
    <t xml:space="preserve">R088</t>
  </si>
  <si>
    <t xml:space="preserve">R089</t>
  </si>
  <si>
    <t xml:space="preserve">R090</t>
  </si>
  <si>
    <t xml:space="preserve">R091</t>
  </si>
  <si>
    <t xml:space="preserve">R092</t>
  </si>
  <si>
    <t xml:space="preserve">R093</t>
  </si>
  <si>
    <t xml:space="preserve">R094</t>
  </si>
  <si>
    <t xml:space="preserve">R095</t>
  </si>
  <si>
    <t xml:space="preserve">R096</t>
  </si>
  <si>
    <t xml:space="preserve">variable-primary</t>
  </si>
  <si>
    <t xml:space="preserve">V3_01</t>
  </si>
  <si>
    <t xml:space="preserve">R097</t>
  </si>
  <si>
    <t xml:space="preserve">variable-alternate</t>
  </si>
  <si>
    <t xml:space="preserve">R098</t>
  </si>
  <si>
    <t xml:space="preserve">V3_02</t>
  </si>
  <si>
    <t xml:space="preserve">R099</t>
  </si>
  <si>
    <t xml:space="preserve">R100</t>
  </si>
  <si>
    <t xml:space="preserve">R101</t>
  </si>
  <si>
    <t xml:space="preserve">R102</t>
  </si>
  <si>
    <t xml:space="preserve">R103</t>
  </si>
  <si>
    <t xml:space="preserve">V3_03</t>
  </si>
  <si>
    <t xml:space="preserve">R104</t>
  </si>
  <si>
    <t xml:space="preserve">R105</t>
  </si>
  <si>
    <t xml:space="preserve">V3_04</t>
  </si>
  <si>
    <t xml:space="preserve">R106</t>
  </si>
  <si>
    <t xml:space="preserve">R107</t>
  </si>
  <si>
    <t xml:space="preserve">V3_05</t>
  </si>
  <si>
    <t xml:space="preserve">R108</t>
  </si>
  <si>
    <t xml:space="preserve">R109</t>
  </si>
  <si>
    <t xml:space="preserve">V3_06</t>
  </si>
  <si>
    <t xml:space="preserve">R110</t>
  </si>
  <si>
    <t xml:space="preserve">R111</t>
  </si>
  <si>
    <t xml:space="preserve">V3_07</t>
  </si>
  <si>
    <t xml:space="preserve">R112</t>
  </si>
  <si>
    <t xml:space="preserve">R113</t>
  </si>
  <si>
    <t xml:space="preserve">R114</t>
  </si>
  <si>
    <t xml:space="preserve">R115</t>
  </si>
  <si>
    <t xml:space="preserve">R116</t>
  </si>
  <si>
    <t xml:space="preserve">T2+T3-&gt;T4</t>
  </si>
  <si>
    <t xml:space="preserve">R117</t>
  </si>
  <si>
    <t xml:space="preserve">R118</t>
  </si>
  <si>
    <t xml:space="preserve">R119</t>
  </si>
  <si>
    <t xml:space="preserve">R120</t>
  </si>
  <si>
    <t xml:space="preserve">R121</t>
  </si>
  <si>
    <t xml:space="preserve">R122</t>
  </si>
  <si>
    <t xml:space="preserve">R123</t>
  </si>
  <si>
    <t xml:space="preserve">R124</t>
  </si>
  <si>
    <t xml:space="preserve">R125</t>
  </si>
  <si>
    <t xml:space="preserve">R126</t>
  </si>
  <si>
    <t xml:space="preserve">R127</t>
  </si>
  <si>
    <t xml:space="preserve">R128</t>
  </si>
  <si>
    <t xml:space="preserve">R129</t>
  </si>
  <si>
    <t xml:space="preserve">R130</t>
  </si>
  <si>
    <t xml:space="preserve">T3+T3-&gt;T4</t>
  </si>
  <si>
    <t xml:space="preserve">R131</t>
  </si>
  <si>
    <t xml:space="preserve">R132</t>
  </si>
  <si>
    <t xml:space="preserve">R133</t>
  </si>
  <si>
    <t xml:space="preserve">R134</t>
  </si>
  <si>
    <t xml:space="preserve">R135</t>
  </si>
  <si>
    <t xml:space="preserve">R136</t>
  </si>
  <si>
    <t xml:space="preserve">R137</t>
  </si>
  <si>
    <t xml:space="preserve">R138</t>
  </si>
  <si>
    <t xml:space="preserve">R139</t>
  </si>
  <si>
    <t xml:space="preserve">R140</t>
  </si>
  <si>
    <t xml:space="preserve">R141</t>
  </si>
  <si>
    <t xml:space="preserve">V4_01</t>
  </si>
  <si>
    <t xml:space="preserve">R142</t>
  </si>
  <si>
    <t xml:space="preserve">R143</t>
  </si>
  <si>
    <t xml:space="preserve">V4_02</t>
  </si>
  <si>
    <t xml:space="preserve">R144</t>
  </si>
  <si>
    <t xml:space="preserve">R145</t>
  </si>
  <si>
    <t xml:space="preserve">R146</t>
  </si>
  <si>
    <t xml:space="preserve">R147</t>
  </si>
  <si>
    <t xml:space="preserve">R148</t>
  </si>
  <si>
    <t xml:space="preserve">R149</t>
  </si>
  <si>
    <t xml:space="preserve">V4_03</t>
  </si>
  <si>
    <t xml:space="preserve">R150</t>
  </si>
  <si>
    <t xml:space="preserve">R151</t>
  </si>
  <si>
    <t xml:space="preserve">V4_04</t>
  </si>
  <si>
    <t xml:space="preserve">R152</t>
  </si>
  <si>
    <t xml:space="preserve">R153</t>
  </si>
  <si>
    <t xml:space="preserve">V4_05</t>
  </si>
  <si>
    <t xml:space="preserve">R154</t>
  </si>
  <si>
    <t xml:space="preserve">R155</t>
  </si>
  <si>
    <t xml:space="preserve">V4_06</t>
  </si>
  <si>
    <t xml:space="preserve">R156</t>
  </si>
  <si>
    <t xml:space="preserve">R157</t>
  </si>
  <si>
    <t xml:space="preserve">R158</t>
  </si>
  <si>
    <t xml:space="preserve">R159</t>
  </si>
  <si>
    <t xml:space="preserve">R160</t>
  </si>
  <si>
    <t xml:space="preserve">R161</t>
  </si>
  <si>
    <t xml:space="preserve">T3+T4-&gt;T5</t>
  </si>
  <si>
    <t xml:space="preserve">R162</t>
  </si>
  <si>
    <t xml:space="preserve">R163</t>
  </si>
  <si>
    <t xml:space="preserve">R164</t>
  </si>
  <si>
    <t xml:space="preserve">R165</t>
  </si>
  <si>
    <t xml:space="preserve">R166</t>
  </si>
  <si>
    <t xml:space="preserve">R167</t>
  </si>
  <si>
    <t xml:space="preserve">R168</t>
  </si>
  <si>
    <t xml:space="preserve">R169</t>
  </si>
  <si>
    <t xml:space="preserve">R170</t>
  </si>
  <si>
    <t xml:space="preserve">R171</t>
  </si>
  <si>
    <t xml:space="preserve">R172</t>
  </si>
  <si>
    <t xml:space="preserve">R173</t>
  </si>
  <si>
    <t xml:space="preserve">R174</t>
  </si>
  <si>
    <t xml:space="preserve">R175</t>
  </si>
  <si>
    <t xml:space="preserve">R176</t>
  </si>
  <si>
    <t xml:space="preserve">R177</t>
  </si>
  <si>
    <t xml:space="preserve">R178</t>
  </si>
  <si>
    <t xml:space="preserve">R179</t>
  </si>
  <si>
    <t xml:space="preserve">R180</t>
  </si>
  <si>
    <t xml:space="preserve">R181</t>
  </si>
  <si>
    <t xml:space="preserve">V5_01</t>
  </si>
  <si>
    <t xml:space="preserve">R182</t>
  </si>
  <si>
    <t xml:space="preserve">R183</t>
  </si>
  <si>
    <t xml:space="preserve">V5_02</t>
  </si>
  <si>
    <t xml:space="preserve">R184</t>
  </si>
  <si>
    <t xml:space="preserve">R185</t>
  </si>
  <si>
    <t xml:space="preserve">V5_03</t>
  </si>
  <si>
    <t xml:space="preserve">R186</t>
  </si>
  <si>
    <t xml:space="preserve">R187</t>
  </si>
  <si>
    <t xml:space="preserve">V5_04</t>
  </si>
  <si>
    <t xml:space="preserve">R188</t>
  </si>
  <si>
    <t xml:space="preserve">R189</t>
  </si>
  <si>
    <t xml:space="preserve">R190</t>
  </si>
  <si>
    <t xml:space="preserve">R191</t>
  </si>
  <si>
    <t xml:space="preserve">T4+T5-&gt;T6</t>
  </si>
  <si>
    <t xml:space="preserve">R192</t>
  </si>
  <si>
    <t xml:space="preserve">R193</t>
  </si>
  <si>
    <t xml:space="preserve">R194</t>
  </si>
  <si>
    <t xml:space="preserve">R195</t>
  </si>
  <si>
    <t xml:space="preserve">R196</t>
  </si>
  <si>
    <t xml:space="preserve">R197</t>
  </si>
  <si>
    <t xml:space="preserve">T5+T5-&gt;T6</t>
  </si>
  <si>
    <t xml:space="preserve">R198</t>
  </si>
  <si>
    <t xml:space="preserve">R199</t>
  </si>
  <si>
    <t xml:space="preserve">R200</t>
  </si>
  <si>
    <t xml:space="preserve">R201</t>
  </si>
  <si>
    <t xml:space="preserve">R202</t>
  </si>
  <si>
    <t xml:space="preserve">R203</t>
  </si>
  <si>
    <t xml:space="preserve">R204</t>
  </si>
  <si>
    <t xml:space="preserve">R205</t>
  </si>
  <si>
    <t xml:space="preserve">EXOTIC SEED TABLE — all 120 T6+T6 combinations (doc §23). This table IS the procedural generator's output, shipped as data: deterministic, collision-free, server does a lookup on first completion.</t>
  </si>
  <si>
    <t xml:space="preserve">Exotic ID</t>
  </si>
  <si>
    <t xml:space="preserve">Input A</t>
  </si>
  <si>
    <t xml:space="preserve">Input A name</t>
  </si>
  <si>
    <t xml:space="preserve">Input B</t>
  </si>
  <si>
    <t xml:space="preserve">Input B name</t>
  </si>
  <si>
    <t xml:space="preserve">Exotic name</t>
  </si>
  <si>
    <t xml:space="preserve">Initial value</t>
  </si>
  <si>
    <t xml:space="preserve">Claim bonus (3x initial)</t>
  </si>
  <si>
    <t xml:space="preserve">Floor value (25%)</t>
  </si>
  <si>
    <t xml:space="preserve">Weekly dividend (all Exotics):</t>
  </si>
  <si>
    <t xml:space="preserve">EX_001</t>
  </si>
  <si>
    <t xml:space="preserve">Trans-chromate IX</t>
  </si>
  <si>
    <t xml:space="preserve">EX_002</t>
  </si>
  <si>
    <t xml:space="preserve">Meta-titanate Prime</t>
  </si>
  <si>
    <t xml:space="preserve">EX_003</t>
  </si>
  <si>
    <t xml:space="preserve">Hyper-zirconate Omega</t>
  </si>
  <si>
    <t xml:space="preserve">Doc §23 example names occupy real slots:</t>
  </si>
  <si>
    <t xml:space="preserve">EX_004</t>
  </si>
  <si>
    <t xml:space="preserve">Para-vanadate X</t>
  </si>
  <si>
    <t xml:space="preserve">Trans-chromate IX, Meta-titanate Prime, Hyper-zirconate Omega</t>
  </si>
  <si>
    <t xml:space="preserve">EX_005</t>
  </si>
  <si>
    <t xml:space="preserve">Xeno-borate X</t>
  </si>
  <si>
    <t xml:space="preserve">EX_006</t>
  </si>
  <si>
    <t xml:space="preserve">Para-titanate Helix</t>
  </si>
  <si>
    <t xml:space="preserve">Runtime stats (all Exotics, doc §23/§5):</t>
  </si>
  <si>
    <t xml:space="preserve">EX_007</t>
  </si>
  <si>
    <t xml:space="preserve">Iso-titanate Prime</t>
  </si>
  <si>
    <t xml:space="preserve">Synthesis: 24h Joint Synthesis only</t>
  </si>
  <si>
    <t xml:space="preserve">EX_008</t>
  </si>
  <si>
    <t xml:space="preserve">Anti-vanadate II</t>
  </si>
  <si>
    <t xml:space="preserve">Passive income P/min:</t>
  </si>
  <si>
    <t xml:space="preserve">EX_009</t>
  </si>
  <si>
    <t xml:space="preserve">Meta-ferrate II</t>
  </si>
  <si>
    <t xml:space="preserve">EX_010</t>
  </si>
  <si>
    <t xml:space="preserve">Neo-borate Omega</t>
  </si>
  <si>
    <t xml:space="preserve">EX_011</t>
  </si>
  <si>
    <t xml:space="preserve">Hyper-borate IX</t>
  </si>
  <si>
    <t xml:space="preserve">EX_012</t>
  </si>
  <si>
    <t xml:space="preserve">Poly-silicate VIII</t>
  </si>
  <si>
    <t xml:space="preserve">EX_013</t>
  </si>
  <si>
    <t xml:space="preserve">Xeno-zirconate Prime</t>
  </si>
  <si>
    <t xml:space="preserve">EX_014</t>
  </si>
  <si>
    <t xml:space="preserve">Ultra-borate V</t>
  </si>
  <si>
    <t xml:space="preserve">EX_015</t>
  </si>
  <si>
    <t xml:space="preserve">Hyper-tungstate Alpha</t>
  </si>
  <si>
    <t xml:space="preserve">EX_016</t>
  </si>
  <si>
    <t xml:space="preserve">Poly-vanadate II</t>
  </si>
  <si>
    <t xml:space="preserve">EX_017</t>
  </si>
  <si>
    <t xml:space="preserve">Meta-zirconate Helix</t>
  </si>
  <si>
    <t xml:space="preserve">EX_018</t>
  </si>
  <si>
    <t xml:space="preserve">Anti-chromate Prime</t>
  </si>
  <si>
    <t xml:space="preserve">EX_019</t>
  </si>
  <si>
    <t xml:space="preserve">Anti-silicate I</t>
  </si>
  <si>
    <t xml:space="preserve">EX_020</t>
  </si>
  <si>
    <t xml:space="preserve">Hyper-titanate VIII</t>
  </si>
  <si>
    <t xml:space="preserve">EX_021</t>
  </si>
  <si>
    <t xml:space="preserve">Pseudo-tungstate V</t>
  </si>
  <si>
    <t xml:space="preserve">EX_022</t>
  </si>
  <si>
    <t xml:space="preserve">Xeno-vanadate XI</t>
  </si>
  <si>
    <t xml:space="preserve">EX_023</t>
  </si>
  <si>
    <t xml:space="preserve">Pseudo-molybdate IV</t>
  </si>
  <si>
    <t xml:space="preserve">EX_024</t>
  </si>
  <si>
    <t xml:space="preserve">Anti-molybdate Omega</t>
  </si>
  <si>
    <t xml:space="preserve">EX_025</t>
  </si>
  <si>
    <t xml:space="preserve">Trans-vanadate II</t>
  </si>
  <si>
    <t xml:space="preserve">EX_026</t>
  </si>
  <si>
    <t xml:space="preserve">Poly-niobate Apex</t>
  </si>
  <si>
    <t xml:space="preserve">EX_027</t>
  </si>
  <si>
    <t xml:space="preserve">Mono-tungstate V</t>
  </si>
  <si>
    <t xml:space="preserve">EX_028</t>
  </si>
  <si>
    <t xml:space="preserve">Para-tungstate IV</t>
  </si>
  <si>
    <t xml:space="preserve">EX_029</t>
  </si>
  <si>
    <t xml:space="preserve">Xeno-zirconate Apex</t>
  </si>
  <si>
    <t xml:space="preserve">EX_030</t>
  </si>
  <si>
    <t xml:space="preserve">Para-silicate II</t>
  </si>
  <si>
    <t xml:space="preserve">EX_031</t>
  </si>
  <si>
    <t xml:space="preserve">Poly-borate VII</t>
  </si>
  <si>
    <t xml:space="preserve">EX_032</t>
  </si>
  <si>
    <t xml:space="preserve">Meta-tungstate Alpha</t>
  </si>
  <si>
    <t xml:space="preserve">EX_033</t>
  </si>
  <si>
    <t xml:space="preserve">Neo-borate Axiom</t>
  </si>
  <si>
    <t xml:space="preserve">EX_034</t>
  </si>
  <si>
    <t xml:space="preserve">Pseudo-titanate XII</t>
  </si>
  <si>
    <t xml:space="preserve">EX_035</t>
  </si>
  <si>
    <t xml:space="preserve">Pseudo-borate VI</t>
  </si>
  <si>
    <t xml:space="preserve">EX_036</t>
  </si>
  <si>
    <t xml:space="preserve">Mono-niobate Omega</t>
  </si>
  <si>
    <t xml:space="preserve">EX_037</t>
  </si>
  <si>
    <t xml:space="preserve">Iso-zirconate Vertex</t>
  </si>
  <si>
    <t xml:space="preserve">EX_038</t>
  </si>
  <si>
    <t xml:space="preserve">Mono-vanadate I</t>
  </si>
  <si>
    <t xml:space="preserve">EX_039</t>
  </si>
  <si>
    <t xml:space="preserve">Trans-niobate VIII</t>
  </si>
  <si>
    <t xml:space="preserve">EX_040</t>
  </si>
  <si>
    <t xml:space="preserve">Iso-chromate I</t>
  </si>
  <si>
    <t xml:space="preserve">EX_041</t>
  </si>
  <si>
    <t xml:space="preserve">Poly-chromate Apex</t>
  </si>
  <si>
    <t xml:space="preserve">EX_042</t>
  </si>
  <si>
    <t xml:space="preserve">Meta-titanate XI</t>
  </si>
  <si>
    <t xml:space="preserve">EX_043</t>
  </si>
  <si>
    <t xml:space="preserve">Anti-tungstate II</t>
  </si>
  <si>
    <t xml:space="preserve">EX_044</t>
  </si>
  <si>
    <t xml:space="preserve">Xeno-chromate X</t>
  </si>
  <si>
    <t xml:space="preserve">EX_045</t>
  </si>
  <si>
    <t xml:space="preserve">Ultra-tungstate Nadir</t>
  </si>
  <si>
    <t xml:space="preserve">EX_046</t>
  </si>
  <si>
    <t xml:space="preserve">Anti-niobate Axiom</t>
  </si>
  <si>
    <t xml:space="preserve">EX_047</t>
  </si>
  <si>
    <t xml:space="preserve">Para-niobate I</t>
  </si>
  <si>
    <t xml:space="preserve">EX_048</t>
  </si>
  <si>
    <t xml:space="preserve">Para-niobate Axiom</t>
  </si>
  <si>
    <t xml:space="preserve">EX_049</t>
  </si>
  <si>
    <t xml:space="preserve">Trans-ferrate IX</t>
  </si>
  <si>
    <t xml:space="preserve">EX_050</t>
  </si>
  <si>
    <t xml:space="preserve">Xeno-niobate IX</t>
  </si>
  <si>
    <t xml:space="preserve">EX_051</t>
  </si>
  <si>
    <t xml:space="preserve">Xeno-tungstate IV</t>
  </si>
  <si>
    <t xml:space="preserve">EX_052</t>
  </si>
  <si>
    <t xml:space="preserve">Para-ferrate X</t>
  </si>
  <si>
    <t xml:space="preserve">EX_053</t>
  </si>
  <si>
    <t xml:space="preserve">Xeno-molybdate VI</t>
  </si>
  <si>
    <t xml:space="preserve">EX_054</t>
  </si>
  <si>
    <t xml:space="preserve">Trans-molybdate XII</t>
  </si>
  <si>
    <t xml:space="preserve">EX_055</t>
  </si>
  <si>
    <t xml:space="preserve">Para-silicate V</t>
  </si>
  <si>
    <t xml:space="preserve">EX_056</t>
  </si>
  <si>
    <t xml:space="preserve">Meta-vanadate XI</t>
  </si>
  <si>
    <t xml:space="preserve">EX_057</t>
  </si>
  <si>
    <t xml:space="preserve">Neo-tungstate IV</t>
  </si>
  <si>
    <t xml:space="preserve">EX_058</t>
  </si>
  <si>
    <t xml:space="preserve">Anti-silicate Helix</t>
  </si>
  <si>
    <t xml:space="preserve">EX_059</t>
  </si>
  <si>
    <t xml:space="preserve">Xeno-chromate XII</t>
  </si>
  <si>
    <t xml:space="preserve">EX_060</t>
  </si>
  <si>
    <t xml:space="preserve">Xeno-zirconate III</t>
  </si>
  <si>
    <t xml:space="preserve">EX_061</t>
  </si>
  <si>
    <t xml:space="preserve">Pseudo-tungstate VIII</t>
  </si>
  <si>
    <t xml:space="preserve">EX_062</t>
  </si>
  <si>
    <t xml:space="preserve">Iso-ferrate IX</t>
  </si>
  <si>
    <t xml:space="preserve">EX_063</t>
  </si>
  <si>
    <t xml:space="preserve">Trans-zirconate VIII</t>
  </si>
  <si>
    <t xml:space="preserve">EX_064</t>
  </si>
  <si>
    <t xml:space="preserve">Ultra-ferrate Alpha</t>
  </si>
  <si>
    <t xml:space="preserve">EX_065</t>
  </si>
  <si>
    <t xml:space="preserve">Anti-silicate VIII</t>
  </si>
  <si>
    <t xml:space="preserve">EX_066</t>
  </si>
  <si>
    <t xml:space="preserve">Iso-borate IX</t>
  </si>
  <si>
    <t xml:space="preserve">EX_067</t>
  </si>
  <si>
    <t xml:space="preserve">Mono-titanate II</t>
  </si>
  <si>
    <t xml:space="preserve">EX_068</t>
  </si>
  <si>
    <t xml:space="preserve">Meta-niobate XI</t>
  </si>
  <si>
    <t xml:space="preserve">EX_069</t>
  </si>
  <si>
    <t xml:space="preserve">Trans-tungstate VII</t>
  </si>
  <si>
    <t xml:space="preserve">EX_070</t>
  </si>
  <si>
    <t xml:space="preserve">Pseudo-chromate II</t>
  </si>
  <si>
    <t xml:space="preserve">EX_071</t>
  </si>
  <si>
    <t xml:space="preserve">Hyper-titanate Vertex</t>
  </si>
  <si>
    <t xml:space="preserve">EX_072</t>
  </si>
  <si>
    <t xml:space="preserve">Neo-zirconate II</t>
  </si>
  <si>
    <t xml:space="preserve">EX_073</t>
  </si>
  <si>
    <t xml:space="preserve">Trans-niobate XII</t>
  </si>
  <si>
    <t xml:space="preserve">EX_074</t>
  </si>
  <si>
    <t xml:space="preserve">Hyper-borate Vertex</t>
  </si>
  <si>
    <t xml:space="preserve">EX_075</t>
  </si>
  <si>
    <t xml:space="preserve">Hyper-chromate XI</t>
  </si>
  <si>
    <t xml:space="preserve">EX_076</t>
  </si>
  <si>
    <t xml:space="preserve">Xeno-molybdate Alpha</t>
  </si>
  <si>
    <t xml:space="preserve">EX_077</t>
  </si>
  <si>
    <t xml:space="preserve">Pseudo-zirconate V</t>
  </si>
  <si>
    <t xml:space="preserve">EX_078</t>
  </si>
  <si>
    <t xml:space="preserve">Pseudo-titanate III</t>
  </si>
  <si>
    <t xml:space="preserve">EX_079</t>
  </si>
  <si>
    <t xml:space="preserve">Pseudo-chromate X</t>
  </si>
  <si>
    <t xml:space="preserve">EX_080</t>
  </si>
  <si>
    <t xml:space="preserve">Iso-silicate Helix</t>
  </si>
  <si>
    <t xml:space="preserve">EX_081</t>
  </si>
  <si>
    <t xml:space="preserve">Poly-zirconate III</t>
  </si>
  <si>
    <t xml:space="preserve">EX_082</t>
  </si>
  <si>
    <t xml:space="preserve">Hyper-titanate Apex</t>
  </si>
  <si>
    <t xml:space="preserve">EX_083</t>
  </si>
  <si>
    <t xml:space="preserve">Iso-silicate Axiom</t>
  </si>
  <si>
    <t xml:space="preserve">EX_084</t>
  </si>
  <si>
    <t xml:space="preserve">Poly-titanate Helix</t>
  </si>
  <si>
    <t xml:space="preserve">EX_085</t>
  </si>
  <si>
    <t xml:space="preserve">Trans-molybdate Omega</t>
  </si>
  <si>
    <t xml:space="preserve">EX_086</t>
  </si>
  <si>
    <t xml:space="preserve">Anti-vanadate V</t>
  </si>
  <si>
    <t xml:space="preserve">EX_087</t>
  </si>
  <si>
    <t xml:space="preserve">Hyper-chromate Apex</t>
  </si>
  <si>
    <t xml:space="preserve">EX_088</t>
  </si>
  <si>
    <t xml:space="preserve">Mono-ferrate I</t>
  </si>
  <si>
    <t xml:space="preserve">EX_089</t>
  </si>
  <si>
    <t xml:space="preserve">Xeno-molybdate XI</t>
  </si>
  <si>
    <t xml:space="preserve">EX_090</t>
  </si>
  <si>
    <t xml:space="preserve">Poly-silicate Nadir</t>
  </si>
  <si>
    <t xml:space="preserve">EX_091</t>
  </si>
  <si>
    <t xml:space="preserve">Poly-vanadate Nadir</t>
  </si>
  <si>
    <t xml:space="preserve">EX_092</t>
  </si>
  <si>
    <t xml:space="preserve">Para-borate V</t>
  </si>
  <si>
    <t xml:space="preserve">EX_093</t>
  </si>
  <si>
    <t xml:space="preserve">Hyper-tungstate IV</t>
  </si>
  <si>
    <t xml:space="preserve">EX_094</t>
  </si>
  <si>
    <t xml:space="preserve">Neo-borate Nadir</t>
  </si>
  <si>
    <t xml:space="preserve">EX_095</t>
  </si>
  <si>
    <t xml:space="preserve">Iso-molybdate VII</t>
  </si>
  <si>
    <t xml:space="preserve">EX_096</t>
  </si>
  <si>
    <t xml:space="preserve">Pseudo-chromate Apex</t>
  </si>
  <si>
    <t xml:space="preserve">EX_097</t>
  </si>
  <si>
    <t xml:space="preserve">Ultra-niobate IV</t>
  </si>
  <si>
    <t xml:space="preserve">EX_098</t>
  </si>
  <si>
    <t xml:space="preserve">Meta-chromate IV</t>
  </si>
  <si>
    <t xml:space="preserve">EX_099</t>
  </si>
  <si>
    <t xml:space="preserve">Mono-chromate Axiom</t>
  </si>
  <si>
    <t xml:space="preserve">EX_100</t>
  </si>
  <si>
    <t xml:space="preserve">Ultra-niobate III</t>
  </si>
  <si>
    <t xml:space="preserve">EX_101</t>
  </si>
  <si>
    <t xml:space="preserve">Hyper-titanate IV</t>
  </si>
  <si>
    <t xml:space="preserve">EX_102</t>
  </si>
  <si>
    <t xml:space="preserve">Anti-borate II</t>
  </si>
  <si>
    <t xml:space="preserve">EX_103</t>
  </si>
  <si>
    <t xml:space="preserve">Mono-chromate VII</t>
  </si>
  <si>
    <t xml:space="preserve">EX_104</t>
  </si>
  <si>
    <t xml:space="preserve">Hyper-vanadate Helix</t>
  </si>
  <si>
    <t xml:space="preserve">EX_105</t>
  </si>
  <si>
    <t xml:space="preserve">Anti-silicate V</t>
  </si>
  <si>
    <t xml:space="preserve">EX_106</t>
  </si>
  <si>
    <t xml:space="preserve">Mono-silicate Vertex</t>
  </si>
  <si>
    <t xml:space="preserve">EX_107</t>
  </si>
  <si>
    <t xml:space="preserve">Meta-titanate IV</t>
  </si>
  <si>
    <t xml:space="preserve">EX_108</t>
  </si>
  <si>
    <t xml:space="preserve">Para-borate Nadir</t>
  </si>
  <si>
    <t xml:space="preserve">EX_109</t>
  </si>
  <si>
    <t xml:space="preserve">Hyper-ferrate Apex</t>
  </si>
  <si>
    <t xml:space="preserve">EX_110</t>
  </si>
  <si>
    <t xml:space="preserve">Anti-silicate Prime</t>
  </si>
  <si>
    <t xml:space="preserve">EX_111</t>
  </si>
  <si>
    <t xml:space="preserve">Para-zirconate XII</t>
  </si>
  <si>
    <t xml:space="preserve">EX_112</t>
  </si>
  <si>
    <t xml:space="preserve">Ultra-silicate Prime</t>
  </si>
  <si>
    <t xml:space="preserve">EX_113</t>
  </si>
  <si>
    <t xml:space="preserve">Pseudo-molybdate Omega</t>
  </si>
  <si>
    <t xml:space="preserve">EX_114</t>
  </si>
  <si>
    <t xml:space="preserve">Pseudo-borate Vertex</t>
  </si>
  <si>
    <t xml:space="preserve">EX_115</t>
  </si>
  <si>
    <t xml:space="preserve">Neo-tungstate Prime</t>
  </si>
  <si>
    <t xml:space="preserve">EX_116</t>
  </si>
  <si>
    <t xml:space="preserve">Anti-silicate VI</t>
  </si>
  <si>
    <t xml:space="preserve">EX_117</t>
  </si>
  <si>
    <t xml:space="preserve">Trans-vanadate VI</t>
  </si>
  <si>
    <t xml:space="preserve">EX_118</t>
  </si>
  <si>
    <t xml:space="preserve">Mono-niobate X</t>
  </si>
  <si>
    <t xml:space="preserve">EX_119</t>
  </si>
  <si>
    <t xml:space="preserve">Pseudo-titanate VIII</t>
  </si>
  <si>
    <t xml:space="preserve">EX_120</t>
  </si>
  <si>
    <t xml:space="preserve">Neo-niobate IV</t>
  </si>
  <si>
    <t xml:space="preserve">CASCADE PROTOCOL EVENT COMPOUNDS (doc §29) — blueprint recipes, pairs verified non-colliding with all base recipes</t>
  </si>
  <si>
    <t xml:space="preserve">Blueprint cost (Flux)</t>
  </si>
  <si>
    <t xml:space="preserve">Input 1</t>
  </si>
  <si>
    <t xml:space="preserve">Input 2</t>
  </si>
  <si>
    <t xml:space="preserve">EV_01</t>
  </si>
  <si>
    <t xml:space="preserve">Cascade Trace</t>
  </si>
  <si>
    <t xml:space="preserve">EV_02</t>
  </si>
  <si>
    <t xml:space="preserve">Cascade Alpha</t>
  </si>
  <si>
    <t xml:space="preserve">EV_03</t>
  </si>
  <si>
    <t xml:space="preserve">Cascade Beta</t>
  </si>
  <si>
    <t xml:space="preserve">EV_04</t>
  </si>
  <si>
    <t xml:space="preserve">Cascade Gamma</t>
  </si>
  <si>
    <t xml:space="preserve">EV_05</t>
  </si>
  <si>
    <t xml:space="preserve">Cascade Delta</t>
  </si>
  <si>
    <t xml:space="preserve">EV_06</t>
  </si>
  <si>
    <t xml:space="preserve">Cascade Epsilon</t>
  </si>
  <si>
    <t xml:space="preserve">EV_07</t>
  </si>
  <si>
    <t xml:space="preserve">Cascade Omega</t>
  </si>
  <si>
    <t xml:space="preserve">Cascade Trace inputs are two STARTER compounds — a day-one player can blueprint and synthesize it (doc §29). Cascade-series compounds are event fiction; element conservation deliberately not applied.</t>
  </si>
  <si>
    <t xml:space="preserve">VALIDATION — live formula checks + Python-verified structural checks</t>
  </si>
  <si>
    <t xml:space="preserve">Check</t>
  </si>
  <si>
    <t xml:space="preserve">Target (doc)</t>
  </si>
  <si>
    <t xml:space="preserve">Actual</t>
  </si>
  <si>
    <t xml:space="preserve">Verdict</t>
  </si>
  <si>
    <t xml:space="preserve">T1 compound count</t>
  </si>
  <si>
    <t xml:space="preserve">T2 compound count</t>
  </si>
  <si>
    <t xml:space="preserve">T3 compound count</t>
  </si>
  <si>
    <t xml:space="preserve">T4 compound count</t>
  </si>
  <si>
    <t xml:space="preserve">T5 compound count</t>
  </si>
  <si>
    <t xml:space="preserve">T6 compound count</t>
  </si>
  <si>
    <t xml:space="preserve">Recipes -&gt; T1 results</t>
  </si>
  <si>
    <t xml:space="preserve">Recipes -&gt; T2 results</t>
  </si>
  <si>
    <t xml:space="preserve">Recipes -&gt; T3 results</t>
  </si>
  <si>
    <t xml:space="preserve">Recipes -&gt; T4 results</t>
  </si>
  <si>
    <t xml:space="preserve">Recipes -&gt; T5 results</t>
  </si>
  <si>
    <t xml:space="preserve">Recipes -&gt; T6 results</t>
  </si>
  <si>
    <t xml:space="preserve">Total recipe mappings</t>
  </si>
  <si>
    <t xml:space="preserve">T1+T2-&gt;T3 (econ model: 30)</t>
  </si>
  <si>
    <t xml:space="preserve">T2+T2-&gt;T3 (econ model: 20)</t>
  </si>
  <si>
    <t xml:space="preserve">T2+T3-&gt;T4 (econ model: 27)</t>
  </si>
  <si>
    <t xml:space="preserve">T3+T3-&gt;T4 (econ model: 18)</t>
  </si>
  <si>
    <t xml:space="preserve">T3+T4-&gt;T5 (econ model: 30)</t>
  </si>
  <si>
    <t xml:space="preserve">Variable-alternate mappings (17 pairs)</t>
  </si>
  <si>
    <t xml:space="preserve">Exotic seed entries</t>
  </si>
  <si>
    <t xml:space="preserve">T1 values within doc range</t>
  </si>
  <si>
    <t xml:space="preserve">TRUE</t>
  </si>
  <si>
    <t xml:space="preserve">T2 values within doc range</t>
  </si>
  <si>
    <t xml:space="preserve">T3 values within doc range</t>
  </si>
  <si>
    <t xml:space="preserve">T4 values within doc range</t>
  </si>
  <si>
    <t xml:space="preserve">T5 values within doc range</t>
  </si>
  <si>
    <t xml:space="preserve">T6 values within doc range</t>
  </si>
  <si>
    <t xml:space="preserve">Tier value separation</t>
  </si>
  <si>
    <t xml:space="preserve">Exotic values within 250k-800k</t>
  </si>
  <si>
    <t xml:space="preserve">PYTHON-VERIFIED STRUCTURAL CHECKS (gen_compounds_v2.py hard assertions, seed 92136505)</t>
  </si>
  <si>
    <t xml:space="preserve">ELEMENT CONSERVATION: every T2/T3/T4 recipe (and every element-keyed T5 recipe) draws all key elements from its inputs; anions and atmosphere (O/C/N/S/Cl/I/H/F) are facility process feeds — PASS</t>
  </si>
  <si>
    <t xml:space="preserve">PASS</t>
  </si>
  <si>
    <t xml:space="preserve">T1 element faucet: the 30 T1 compounds carry the game's entire 29-element palette; extraction is the only element source — PASS</t>
  </si>
  <si>
    <t xml:space="preserve">T1 discovery pairs are analytical signatures (extraction-license unlocks, doc §6), shared-element preferred, strict discovery DAG — PASS</t>
  </si>
  <si>
    <t xml:space="preserve">Reachability: all 150 compounds craftable via BFS from the 5 starters — PASS</t>
  </si>
  <si>
    <t xml:space="preserve">Global pair uniqueness (variable pairs: exactly 2 mappings on 1 pair); 17 variable pairs = 15.7% of T3-T5 pairs (doc ~15%) — PASS</t>
  </si>
  <si>
    <t xml:space="preserve">Variable pairs are polymorph couples: both variants element-covered by the same input pair — PASS</t>
  </si>
  <si>
    <t xml:space="preserve">Tier legality of all 205 recipes; event pairs collide with zero base pairs — PASS</t>
  </si>
  <si>
    <t xml:space="preserve">Exotics: 120 entries = all 105 mixed + 15 same-compound T6 pairs, names unique, doc example names at real slots — PASS</t>
  </si>
  <si>
    <t xml:space="preserve">Input coverage: 100% of T1-T5 used as input &gt;=1 time; T6 never an authored input (T6+T6 is the Exotic table) — PASS</t>
  </si>
  <si>
    <t xml:space="preserve">Doc-required names present at correct tiers: 5 starters, Zinc Titanate (T2), Zinc Salt (T2), Zinc Polymer (T5), Cascade set — PASS</t>
  </si>
  <si>
    <t xml:space="preserve">All 150 base names + 120 Exotic names unique — PASS</t>
  </si>
  <si>
    <t xml:space="preserve">Event blueprint pairs are tier-legal for their printed tier (Trace T1+T1, Alpha/Beta T1+T2/T2+T2, Gamma/Delta T2+T3/T3+T3, Epsilon/Omega T3+T4) — asserted programmatically — PASS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</si>
</sst>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5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/>
    </row>
    <row r="5" customFormat="false" ht="15" hidden="false" customHeight="true" outlineLevel="0" collapsed="false">
      <c r="A5" s="2" t="s">
        <v>2</v>
      </c>
    </row>
    <row r="6" customFormat="false" ht="15" hidden="false" customHeight="true" outlineLevel="0" collapsed="false">
      <c r="A6" s="3" t="s">
        <v>3</v>
      </c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/>
    </row>
    <row r="12" customFormat="false" ht="15" hidden="false" customHeight="true" outlineLevel="0" collapsed="false">
      <c r="A12" s="3" t="s">
        <v>8</v>
      </c>
    </row>
    <row r="13" customFormat="false" ht="15" hidden="false" customHeight="true" outlineLevel="0" collapsed="false">
      <c r="A13" s="3"/>
    </row>
    <row r="14" customFormat="false" ht="15" hidden="false" customHeight="true" outlineLevel="0" collapsed="false">
      <c r="A14" s="3" t="s">
        <v>9</v>
      </c>
    </row>
    <row r="15" customFormat="false" ht="15" hidden="false" customHeight="true" outlineLevel="0" collapsed="false">
      <c r="A15" s="3" t="s">
        <v>10</v>
      </c>
    </row>
    <row r="16" customFormat="false" ht="15" hidden="false" customHeight="true" outlineLevel="0" collapsed="false">
      <c r="A16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5" min="4" style="1" width="12"/>
  </cols>
  <sheetData>
    <row r="1" customFormat="false" ht="15" hidden="false" customHeight="true" outlineLevel="0" collapsed="false">
      <c r="A1" s="2" t="s">
        <v>12</v>
      </c>
    </row>
    <row r="2" customFormat="false" ht="26.25" hidden="false" customHeight="true" outlineLevel="0" collapsed="false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</row>
    <row r="3" customFormat="false" ht="15" hidden="false" customHeight="true" outlineLevel="0" collapsed="false">
      <c r="A3" s="5" t="n">
        <v>1</v>
      </c>
      <c r="B3" s="5" t="n">
        <v>2</v>
      </c>
      <c r="C3" s="6" t="n">
        <v>8</v>
      </c>
      <c r="D3" s="5" t="n">
        <v>10</v>
      </c>
      <c r="E3" s="5" t="n">
        <v>25</v>
      </c>
    </row>
    <row r="4" customFormat="false" ht="15" hidden="false" customHeight="true" outlineLevel="0" collapsed="false">
      <c r="A4" s="5" t="n">
        <v>2</v>
      </c>
      <c r="B4" s="5" t="n">
        <v>12</v>
      </c>
      <c r="C4" s="6" t="n">
        <v>11.2</v>
      </c>
      <c r="D4" s="5" t="n">
        <v>80</v>
      </c>
      <c r="E4" s="5" t="n">
        <v>150</v>
      </c>
    </row>
    <row r="5" customFormat="false" ht="15" hidden="false" customHeight="true" outlineLevel="0" collapsed="false">
      <c r="A5" s="5" t="n">
        <v>3</v>
      </c>
      <c r="B5" s="5" t="n">
        <v>45</v>
      </c>
      <c r="C5" s="6" t="n">
        <v>15.7</v>
      </c>
      <c r="D5" s="5" t="n">
        <v>400</v>
      </c>
      <c r="E5" s="5" t="n">
        <v>700</v>
      </c>
    </row>
    <row r="6" customFormat="false" ht="15" hidden="false" customHeight="true" outlineLevel="0" collapsed="false">
      <c r="A6" s="5" t="n">
        <v>4</v>
      </c>
      <c r="B6" s="5" t="n">
        <v>180</v>
      </c>
      <c r="C6" s="6" t="n">
        <v>21.9</v>
      </c>
      <c r="D6" s="5" t="n">
        <v>2000</v>
      </c>
      <c r="E6" s="5" t="n">
        <v>4000</v>
      </c>
    </row>
    <row r="7" customFormat="false" ht="15" hidden="false" customHeight="true" outlineLevel="0" collapsed="false">
      <c r="A7" s="5" t="n">
        <v>5</v>
      </c>
      <c r="B7" s="5" t="n">
        <v>480</v>
      </c>
      <c r="C7" s="6" t="n">
        <v>30.7</v>
      </c>
      <c r="D7" s="5" t="n">
        <v>12000</v>
      </c>
      <c r="E7" s="5" t="n">
        <v>20000</v>
      </c>
    </row>
    <row r="8" customFormat="false" ht="15" hidden="false" customHeight="true" outlineLevel="0" collapsed="false">
      <c r="A8" s="5" t="n">
        <v>6</v>
      </c>
      <c r="B8" s="5" t="n">
        <v>1440</v>
      </c>
      <c r="C8" s="6" t="n">
        <v>43</v>
      </c>
      <c r="D8" s="5" t="n">
        <v>60000</v>
      </c>
      <c r="E8" s="5" t="n">
        <v>100000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6"/>
    <col collapsed="false" customWidth="true" hidden="false" outlineLevel="0" max="3" min="3" style="1" width="7"/>
    <col collapsed="false" customWidth="true" hidden="false" outlineLevel="0" max="4" min="4" style="1" width="9"/>
    <col collapsed="false" customWidth="true" hidden="false" outlineLevel="0" max="5" min="5" style="1" width="18"/>
    <col collapsed="false" customWidth="true" hidden="false" outlineLevel="0" max="6" min="6" style="1" width="12"/>
    <col collapsed="false" customWidth="true" hidden="false" outlineLevel="0" max="7" min="7" style="1" width="11"/>
    <col collapsed="false" customWidth="true" hidden="false" outlineLevel="0" max="8" min="8" style="1" width="13"/>
    <col collapsed="false" customWidth="true" hidden="false" outlineLevel="0" max="9" min="9" style="1" width="17"/>
    <col collapsed="false" customWidth="true" hidden="false" outlineLevel="0" max="10" min="10" style="1" width="14"/>
    <col collapsed="false" customWidth="true" hidden="false" outlineLevel="0" max="11" min="11" style="1" width="15"/>
    <col collapsed="false" customWidth="true" hidden="false" outlineLevel="0" max="12" min="12" style="1" width="54"/>
  </cols>
  <sheetData>
    <row r="1" customFormat="false" ht="15" hidden="false" customHeight="true" outlineLevel="0" collapsed="false">
      <c r="A1" s="2" t="s">
        <v>18</v>
      </c>
    </row>
    <row r="2" customFormat="false" ht="26.25" hidden="false" customHeight="true" outlineLevel="0" collapsed="false">
      <c r="A2" s="4" t="s">
        <v>19</v>
      </c>
      <c r="B2" s="4" t="s">
        <v>20</v>
      </c>
      <c r="C2" s="4" t="s">
        <v>13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15</v>
      </c>
      <c r="I2" s="4" t="s">
        <v>25</v>
      </c>
      <c r="J2" s="4" t="s">
        <v>26</v>
      </c>
      <c r="K2" s="4" t="s">
        <v>27</v>
      </c>
      <c r="L2" s="4" t="s">
        <v>28</v>
      </c>
    </row>
    <row r="3" customFormat="false" ht="15" hidden="false" customHeight="true" outlineLevel="0" collapsed="false">
      <c r="A3" s="3" t="s">
        <v>29</v>
      </c>
      <c r="B3" s="7" t="s">
        <v>30</v>
      </c>
      <c r="C3" s="5" t="n">
        <v>1</v>
      </c>
      <c r="D3" s="3" t="s">
        <v>31</v>
      </c>
      <c r="E3" s="7" t="s">
        <v>32</v>
      </c>
      <c r="F3" s="5" t="n">
        <v>25</v>
      </c>
      <c r="G3" s="8" t="n">
        <f aca="false">VLOOKUP(C3,Tier_Constants!$A$3:$E$8,2,FALSE())</f>
        <v>2</v>
      </c>
      <c r="H3" s="9" t="n">
        <f aca="false">VLOOKUP(C3,Tier_Constants!$A$3:$E$8,3,FALSE())</f>
        <v>8</v>
      </c>
      <c r="I3" s="8" t="n">
        <f aca="false">COUNTIF(Recipes!$B$3:$B$207,A3)</f>
        <v>0</v>
      </c>
      <c r="J3" s="8" t="n">
        <f aca="false">COUNTIF(Recipes!$E$3:$E$207,A3)+COUNTIF(Recipes!$G$3:$G$207,A3)</f>
        <v>7</v>
      </c>
      <c r="K3" s="10" t="str">
        <f aca="false">IF(COUNTIFS(Recipes!$B$3:$B$207,A3,Recipes!$I$3:$I$207,"&lt;&gt;simple")&gt;0,"YES","")</f>
        <v/>
      </c>
      <c r="L3" s="11" t="s">
        <v>33</v>
      </c>
    </row>
    <row r="4" customFormat="false" ht="26.25" hidden="false" customHeight="true" outlineLevel="0" collapsed="false">
      <c r="A4" s="3" t="s">
        <v>34</v>
      </c>
      <c r="B4" s="7" t="s">
        <v>35</v>
      </c>
      <c r="C4" s="5" t="n">
        <v>1</v>
      </c>
      <c r="D4" s="3" t="s">
        <v>31</v>
      </c>
      <c r="E4" s="7" t="s">
        <v>36</v>
      </c>
      <c r="F4" s="5" t="n">
        <v>22</v>
      </c>
      <c r="G4" s="8" t="n">
        <f aca="false">VLOOKUP(C4,Tier_Constants!$A$3:$E$8,2,FALSE())</f>
        <v>2</v>
      </c>
      <c r="H4" s="9" t="n">
        <f aca="false">VLOOKUP(C4,Tier_Constants!$A$3:$E$8,3,FALSE())</f>
        <v>8</v>
      </c>
      <c r="I4" s="8" t="n">
        <f aca="false">COUNTIF(Recipes!$B$3:$B$207,A4)</f>
        <v>0</v>
      </c>
      <c r="J4" s="8" t="n">
        <f aca="false">COUNTIF(Recipes!$E$3:$E$207,A4)+COUNTIF(Recipes!$G$3:$G$207,A4)</f>
        <v>6</v>
      </c>
      <c r="K4" s="10" t="str">
        <f aca="false">IF(COUNTIFS(Recipes!$B$3:$B$207,A4,Recipes!$I$3:$I$207,"&lt;&gt;simple")&gt;0,"YES","")</f>
        <v/>
      </c>
      <c r="L4" s="11" t="s">
        <v>37</v>
      </c>
    </row>
    <row r="5" customFormat="false" ht="15" hidden="false" customHeight="true" outlineLevel="0" collapsed="false">
      <c r="A5" s="3" t="s">
        <v>38</v>
      </c>
      <c r="B5" s="7" t="s">
        <v>39</v>
      </c>
      <c r="C5" s="5" t="n">
        <v>1</v>
      </c>
      <c r="D5" s="3" t="s">
        <v>31</v>
      </c>
      <c r="E5" s="7" t="s">
        <v>40</v>
      </c>
      <c r="F5" s="5" t="n">
        <v>24</v>
      </c>
      <c r="G5" s="8" t="n">
        <f aca="false">VLOOKUP(C5,Tier_Constants!$A$3:$E$8,2,FALSE())</f>
        <v>2</v>
      </c>
      <c r="H5" s="9" t="n">
        <f aca="false">VLOOKUP(C5,Tier_Constants!$A$3:$E$8,3,FALSE())</f>
        <v>8</v>
      </c>
      <c r="I5" s="8" t="n">
        <f aca="false">COUNTIF(Recipes!$B$3:$B$207,A5)</f>
        <v>0</v>
      </c>
      <c r="J5" s="8" t="n">
        <f aca="false">COUNTIF(Recipes!$E$3:$E$207,A5)+COUNTIF(Recipes!$G$3:$G$207,A5)</f>
        <v>5</v>
      </c>
      <c r="K5" s="10" t="str">
        <f aca="false">IF(COUNTIFS(Recipes!$B$3:$B$207,A5,Recipes!$I$3:$I$207,"&lt;&gt;simple")&gt;0,"YES","")</f>
        <v/>
      </c>
      <c r="L5" s="11" t="s">
        <v>41</v>
      </c>
    </row>
    <row r="6" customFormat="false" ht="15" hidden="false" customHeight="true" outlineLevel="0" collapsed="false">
      <c r="A6" s="3" t="s">
        <v>42</v>
      </c>
      <c r="B6" s="7" t="s">
        <v>43</v>
      </c>
      <c r="C6" s="5" t="n">
        <v>1</v>
      </c>
      <c r="D6" s="3" t="s">
        <v>31</v>
      </c>
      <c r="E6" s="7" t="s">
        <v>44</v>
      </c>
      <c r="F6" s="5" t="n">
        <v>12</v>
      </c>
      <c r="G6" s="8" t="n">
        <f aca="false">VLOOKUP(C6,Tier_Constants!$A$3:$E$8,2,FALSE())</f>
        <v>2</v>
      </c>
      <c r="H6" s="9" t="n">
        <f aca="false">VLOOKUP(C6,Tier_Constants!$A$3:$E$8,3,FALSE())</f>
        <v>8</v>
      </c>
      <c r="I6" s="8" t="n">
        <f aca="false">COUNTIF(Recipes!$B$3:$B$207,A6)</f>
        <v>0</v>
      </c>
      <c r="J6" s="8" t="n">
        <f aca="false">COUNTIF(Recipes!$E$3:$E$207,A6)+COUNTIF(Recipes!$G$3:$G$207,A6)</f>
        <v>6</v>
      </c>
      <c r="K6" s="10" t="str">
        <f aca="false">IF(COUNTIFS(Recipes!$B$3:$B$207,A6,Recipes!$I$3:$I$207,"&lt;&gt;simple")&gt;0,"YES","")</f>
        <v/>
      </c>
      <c r="L6" s="11" t="s">
        <v>45</v>
      </c>
    </row>
    <row r="7" customFormat="false" ht="15" hidden="false" customHeight="true" outlineLevel="0" collapsed="false">
      <c r="A7" s="3" t="s">
        <v>46</v>
      </c>
      <c r="B7" s="7" t="s">
        <v>47</v>
      </c>
      <c r="C7" s="5" t="n">
        <v>1</v>
      </c>
      <c r="D7" s="3" t="s">
        <v>31</v>
      </c>
      <c r="E7" s="7" t="s">
        <v>48</v>
      </c>
      <c r="F7" s="5" t="n">
        <v>11</v>
      </c>
      <c r="G7" s="8" t="n">
        <f aca="false">VLOOKUP(C7,Tier_Constants!$A$3:$E$8,2,FALSE())</f>
        <v>2</v>
      </c>
      <c r="H7" s="9" t="n">
        <f aca="false">VLOOKUP(C7,Tier_Constants!$A$3:$E$8,3,FALSE())</f>
        <v>8</v>
      </c>
      <c r="I7" s="8" t="n">
        <f aca="false">COUNTIF(Recipes!$B$3:$B$207,A7)</f>
        <v>0</v>
      </c>
      <c r="J7" s="8" t="n">
        <f aca="false">COUNTIF(Recipes!$E$3:$E$207,A7)+COUNTIF(Recipes!$G$3:$G$207,A7)</f>
        <v>5</v>
      </c>
      <c r="K7" s="10" t="str">
        <f aca="false">IF(COUNTIFS(Recipes!$B$3:$B$207,A7,Recipes!$I$3:$I$207,"&lt;&gt;simple")&gt;0,"YES","")</f>
        <v/>
      </c>
      <c r="L7" s="11" t="s">
        <v>49</v>
      </c>
    </row>
    <row r="8" customFormat="false" ht="15" hidden="false" customHeight="true" outlineLevel="0" collapsed="false">
      <c r="A8" s="3" t="s">
        <v>50</v>
      </c>
      <c r="B8" s="7" t="s">
        <v>51</v>
      </c>
      <c r="C8" s="5" t="n">
        <v>1</v>
      </c>
      <c r="D8" s="3"/>
      <c r="E8" s="7" t="s">
        <v>52</v>
      </c>
      <c r="F8" s="5" t="n">
        <v>14</v>
      </c>
      <c r="G8" s="8" t="n">
        <f aca="false">VLOOKUP(C8,Tier_Constants!$A$3:$E$8,2,FALSE())</f>
        <v>2</v>
      </c>
      <c r="H8" s="9" t="n">
        <f aca="false">VLOOKUP(C8,Tier_Constants!$A$3:$E$8,3,FALSE())</f>
        <v>8</v>
      </c>
      <c r="I8" s="8" t="n">
        <f aca="false">COUNTIF(Recipes!$B$3:$B$207,A8)</f>
        <v>1</v>
      </c>
      <c r="J8" s="8" t="n">
        <f aca="false">COUNTIF(Recipes!$E$3:$E$207,A8)+COUNTIF(Recipes!$G$3:$G$207,A8)</f>
        <v>6</v>
      </c>
      <c r="K8" s="10" t="str">
        <f aca="false">IF(COUNTIFS(Recipes!$B$3:$B$207,A8,Recipes!$I$3:$I$207,"&lt;&gt;simple")&gt;0,"YES","")</f>
        <v/>
      </c>
      <c r="L8" s="11" t="s">
        <v>33</v>
      </c>
    </row>
    <row r="9" customFormat="false" ht="26.25" hidden="false" customHeight="true" outlineLevel="0" collapsed="false">
      <c r="A9" s="3" t="s">
        <v>53</v>
      </c>
      <c r="B9" s="7" t="s">
        <v>54</v>
      </c>
      <c r="C9" s="5" t="n">
        <v>1</v>
      </c>
      <c r="D9" s="3"/>
      <c r="E9" s="7" t="s">
        <v>55</v>
      </c>
      <c r="F9" s="5" t="n">
        <v>16</v>
      </c>
      <c r="G9" s="8" t="n">
        <f aca="false">VLOOKUP(C9,Tier_Constants!$A$3:$E$8,2,FALSE())</f>
        <v>2</v>
      </c>
      <c r="H9" s="9" t="n">
        <f aca="false">VLOOKUP(C9,Tier_Constants!$A$3:$E$8,3,FALSE())</f>
        <v>8</v>
      </c>
      <c r="I9" s="8" t="n">
        <f aca="false">COUNTIF(Recipes!$B$3:$B$207,A9)</f>
        <v>1</v>
      </c>
      <c r="J9" s="8" t="n">
        <f aca="false">COUNTIF(Recipes!$E$3:$E$207,A9)+COUNTIF(Recipes!$G$3:$G$207,A9)</f>
        <v>6</v>
      </c>
      <c r="K9" s="10" t="str">
        <f aca="false">IF(COUNTIFS(Recipes!$B$3:$B$207,A9,Recipes!$I$3:$I$207,"&lt;&gt;simple")&gt;0,"YES","")</f>
        <v/>
      </c>
      <c r="L9" s="11" t="s">
        <v>37</v>
      </c>
    </row>
    <row r="10" customFormat="false" ht="15" hidden="false" customHeight="true" outlineLevel="0" collapsed="false">
      <c r="A10" s="3" t="s">
        <v>56</v>
      </c>
      <c r="B10" s="7" t="s">
        <v>57</v>
      </c>
      <c r="C10" s="5" t="n">
        <v>1</v>
      </c>
      <c r="D10" s="3"/>
      <c r="E10" s="7" t="s">
        <v>58</v>
      </c>
      <c r="F10" s="5" t="n">
        <v>21</v>
      </c>
      <c r="G10" s="8" t="n">
        <f aca="false">VLOOKUP(C10,Tier_Constants!$A$3:$E$8,2,FALSE())</f>
        <v>2</v>
      </c>
      <c r="H10" s="9" t="n">
        <f aca="false">VLOOKUP(C10,Tier_Constants!$A$3:$E$8,3,FALSE())</f>
        <v>8</v>
      </c>
      <c r="I10" s="8" t="n">
        <f aca="false">COUNTIF(Recipes!$B$3:$B$207,A10)</f>
        <v>1</v>
      </c>
      <c r="J10" s="8" t="n">
        <f aca="false">COUNTIF(Recipes!$E$3:$E$207,A10)+COUNTIF(Recipes!$G$3:$G$207,A10)</f>
        <v>6</v>
      </c>
      <c r="K10" s="10" t="str">
        <f aca="false">IF(COUNTIFS(Recipes!$B$3:$B$207,A10,Recipes!$I$3:$I$207,"&lt;&gt;simple")&gt;0,"YES","")</f>
        <v/>
      </c>
      <c r="L10" s="11" t="s">
        <v>41</v>
      </c>
    </row>
    <row r="11" customFormat="false" ht="15" hidden="false" customHeight="true" outlineLevel="0" collapsed="false">
      <c r="A11" s="3" t="s">
        <v>59</v>
      </c>
      <c r="B11" s="7" t="s">
        <v>60</v>
      </c>
      <c r="C11" s="5" t="n">
        <v>1</v>
      </c>
      <c r="D11" s="3"/>
      <c r="E11" s="7" t="s">
        <v>61</v>
      </c>
      <c r="F11" s="5" t="n">
        <v>24</v>
      </c>
      <c r="G11" s="8" t="n">
        <f aca="false">VLOOKUP(C11,Tier_Constants!$A$3:$E$8,2,FALSE())</f>
        <v>2</v>
      </c>
      <c r="H11" s="9" t="n">
        <f aca="false">VLOOKUP(C11,Tier_Constants!$A$3:$E$8,3,FALSE())</f>
        <v>8</v>
      </c>
      <c r="I11" s="8" t="n">
        <f aca="false">COUNTIF(Recipes!$B$3:$B$207,A11)</f>
        <v>1</v>
      </c>
      <c r="J11" s="8" t="n">
        <f aca="false">COUNTIF(Recipes!$E$3:$E$207,A11)+COUNTIF(Recipes!$G$3:$G$207,A11)</f>
        <v>6</v>
      </c>
      <c r="K11" s="10" t="str">
        <f aca="false">IF(COUNTIFS(Recipes!$B$3:$B$207,A11,Recipes!$I$3:$I$207,"&lt;&gt;simple")&gt;0,"YES","")</f>
        <v/>
      </c>
      <c r="L11" s="11" t="s">
        <v>45</v>
      </c>
    </row>
    <row r="12" customFormat="false" ht="15" hidden="false" customHeight="true" outlineLevel="0" collapsed="false">
      <c r="A12" s="3" t="s">
        <v>62</v>
      </c>
      <c r="B12" s="7" t="s">
        <v>63</v>
      </c>
      <c r="C12" s="5" t="n">
        <v>1</v>
      </c>
      <c r="D12" s="3"/>
      <c r="E12" s="7" t="s">
        <v>64</v>
      </c>
      <c r="F12" s="5" t="n">
        <v>20</v>
      </c>
      <c r="G12" s="8" t="n">
        <f aca="false">VLOOKUP(C12,Tier_Constants!$A$3:$E$8,2,FALSE())</f>
        <v>2</v>
      </c>
      <c r="H12" s="9" t="n">
        <f aca="false">VLOOKUP(C12,Tier_Constants!$A$3:$E$8,3,FALSE())</f>
        <v>8</v>
      </c>
      <c r="I12" s="8" t="n">
        <f aca="false">COUNTIF(Recipes!$B$3:$B$207,A12)</f>
        <v>1</v>
      </c>
      <c r="J12" s="8" t="n">
        <f aca="false">COUNTIF(Recipes!$E$3:$E$207,A12)+COUNTIF(Recipes!$G$3:$G$207,A12)</f>
        <v>6</v>
      </c>
      <c r="K12" s="10" t="str">
        <f aca="false">IF(COUNTIFS(Recipes!$B$3:$B$207,A12,Recipes!$I$3:$I$207,"&lt;&gt;simple")&gt;0,"YES","")</f>
        <v/>
      </c>
      <c r="L12" s="11" t="s">
        <v>49</v>
      </c>
    </row>
    <row r="13" customFormat="false" ht="15" hidden="false" customHeight="true" outlineLevel="0" collapsed="false">
      <c r="A13" s="3" t="s">
        <v>65</v>
      </c>
      <c r="B13" s="7" t="s">
        <v>66</v>
      </c>
      <c r="C13" s="5" t="n">
        <v>1</v>
      </c>
      <c r="D13" s="3"/>
      <c r="E13" s="7" t="s">
        <v>67</v>
      </c>
      <c r="F13" s="5" t="n">
        <v>15</v>
      </c>
      <c r="G13" s="8" t="n">
        <f aca="false">VLOOKUP(C13,Tier_Constants!$A$3:$E$8,2,FALSE())</f>
        <v>2</v>
      </c>
      <c r="H13" s="9" t="n">
        <f aca="false">VLOOKUP(C13,Tier_Constants!$A$3:$E$8,3,FALSE())</f>
        <v>8</v>
      </c>
      <c r="I13" s="8" t="n">
        <f aca="false">COUNTIF(Recipes!$B$3:$B$207,A13)</f>
        <v>1</v>
      </c>
      <c r="J13" s="8" t="n">
        <f aca="false">COUNTIF(Recipes!$E$3:$E$207,A13)+COUNTIF(Recipes!$G$3:$G$207,A13)</f>
        <v>5</v>
      </c>
      <c r="K13" s="10" t="str">
        <f aca="false">IF(COUNTIFS(Recipes!$B$3:$B$207,A13,Recipes!$I$3:$I$207,"&lt;&gt;simple")&gt;0,"YES","")</f>
        <v/>
      </c>
      <c r="L13" s="11" t="s">
        <v>33</v>
      </c>
    </row>
    <row r="14" customFormat="false" ht="26.25" hidden="false" customHeight="true" outlineLevel="0" collapsed="false">
      <c r="A14" s="3" t="s">
        <v>68</v>
      </c>
      <c r="B14" s="7" t="s">
        <v>69</v>
      </c>
      <c r="C14" s="5" t="n">
        <v>1</v>
      </c>
      <c r="D14" s="3"/>
      <c r="E14" s="7" t="s">
        <v>70</v>
      </c>
      <c r="F14" s="5" t="n">
        <v>23</v>
      </c>
      <c r="G14" s="8" t="n">
        <f aca="false">VLOOKUP(C14,Tier_Constants!$A$3:$E$8,2,FALSE())</f>
        <v>2</v>
      </c>
      <c r="H14" s="9" t="n">
        <f aca="false">VLOOKUP(C14,Tier_Constants!$A$3:$E$8,3,FALSE())</f>
        <v>8</v>
      </c>
      <c r="I14" s="8" t="n">
        <f aca="false">COUNTIF(Recipes!$B$3:$B$207,A14)</f>
        <v>1</v>
      </c>
      <c r="J14" s="8" t="n">
        <f aca="false">COUNTIF(Recipes!$E$3:$E$207,A14)+COUNTIF(Recipes!$G$3:$G$207,A14)</f>
        <v>6</v>
      </c>
      <c r="K14" s="10" t="str">
        <f aca="false">IF(COUNTIFS(Recipes!$B$3:$B$207,A14,Recipes!$I$3:$I$207,"&lt;&gt;simple")&gt;0,"YES","")</f>
        <v/>
      </c>
      <c r="L14" s="11" t="s">
        <v>37</v>
      </c>
    </row>
    <row r="15" customFormat="false" ht="15" hidden="false" customHeight="true" outlineLevel="0" collapsed="false">
      <c r="A15" s="3" t="s">
        <v>71</v>
      </c>
      <c r="B15" s="7" t="s">
        <v>72</v>
      </c>
      <c r="C15" s="5" t="n">
        <v>1</v>
      </c>
      <c r="D15" s="3"/>
      <c r="E15" s="7" t="s">
        <v>73</v>
      </c>
      <c r="F15" s="5" t="n">
        <v>19</v>
      </c>
      <c r="G15" s="8" t="n">
        <f aca="false">VLOOKUP(C15,Tier_Constants!$A$3:$E$8,2,FALSE())</f>
        <v>2</v>
      </c>
      <c r="H15" s="9" t="n">
        <f aca="false">VLOOKUP(C15,Tier_Constants!$A$3:$E$8,3,FALSE())</f>
        <v>8</v>
      </c>
      <c r="I15" s="8" t="n">
        <f aca="false">COUNTIF(Recipes!$B$3:$B$207,A15)</f>
        <v>1</v>
      </c>
      <c r="J15" s="8" t="n">
        <f aca="false">COUNTIF(Recipes!$E$3:$E$207,A15)+COUNTIF(Recipes!$G$3:$G$207,A15)</f>
        <v>6</v>
      </c>
      <c r="K15" s="10" t="str">
        <f aca="false">IF(COUNTIFS(Recipes!$B$3:$B$207,A15,Recipes!$I$3:$I$207,"&lt;&gt;simple")&gt;0,"YES","")</f>
        <v/>
      </c>
      <c r="L15" s="11" t="s">
        <v>41</v>
      </c>
    </row>
    <row r="16" customFormat="false" ht="15" hidden="false" customHeight="true" outlineLevel="0" collapsed="false">
      <c r="A16" s="3" t="s">
        <v>74</v>
      </c>
      <c r="B16" s="7" t="s">
        <v>75</v>
      </c>
      <c r="C16" s="5" t="n">
        <v>1</v>
      </c>
      <c r="D16" s="3"/>
      <c r="E16" s="7" t="s">
        <v>76</v>
      </c>
      <c r="F16" s="5" t="n">
        <v>17</v>
      </c>
      <c r="G16" s="8" t="n">
        <f aca="false">VLOOKUP(C16,Tier_Constants!$A$3:$E$8,2,FALSE())</f>
        <v>2</v>
      </c>
      <c r="H16" s="9" t="n">
        <f aca="false">VLOOKUP(C16,Tier_Constants!$A$3:$E$8,3,FALSE())</f>
        <v>8</v>
      </c>
      <c r="I16" s="8" t="n">
        <f aca="false">COUNTIF(Recipes!$B$3:$B$207,A16)</f>
        <v>1</v>
      </c>
      <c r="J16" s="8" t="n">
        <f aca="false">COUNTIF(Recipes!$E$3:$E$207,A16)+COUNTIF(Recipes!$G$3:$G$207,A16)</f>
        <v>5</v>
      </c>
      <c r="K16" s="10" t="str">
        <f aca="false">IF(COUNTIFS(Recipes!$B$3:$B$207,A16,Recipes!$I$3:$I$207,"&lt;&gt;simple")&gt;0,"YES","")</f>
        <v/>
      </c>
      <c r="L16" s="11" t="s">
        <v>45</v>
      </c>
    </row>
    <row r="17" customFormat="false" ht="15" hidden="false" customHeight="true" outlineLevel="0" collapsed="false">
      <c r="A17" s="3" t="s">
        <v>77</v>
      </c>
      <c r="B17" s="7" t="s">
        <v>78</v>
      </c>
      <c r="C17" s="5" t="n">
        <v>1</v>
      </c>
      <c r="D17" s="3"/>
      <c r="E17" s="7" t="s">
        <v>79</v>
      </c>
      <c r="F17" s="5" t="n">
        <v>11</v>
      </c>
      <c r="G17" s="8" t="n">
        <f aca="false">VLOOKUP(C17,Tier_Constants!$A$3:$E$8,2,FALSE())</f>
        <v>2</v>
      </c>
      <c r="H17" s="9" t="n">
        <f aca="false">VLOOKUP(C17,Tier_Constants!$A$3:$E$8,3,FALSE())</f>
        <v>8</v>
      </c>
      <c r="I17" s="8" t="n">
        <f aca="false">COUNTIF(Recipes!$B$3:$B$207,A17)</f>
        <v>1</v>
      </c>
      <c r="J17" s="8" t="n">
        <f aca="false">COUNTIF(Recipes!$E$3:$E$207,A17)+COUNTIF(Recipes!$G$3:$G$207,A17)</f>
        <v>5</v>
      </c>
      <c r="K17" s="10" t="str">
        <f aca="false">IF(COUNTIFS(Recipes!$B$3:$B$207,A17,Recipes!$I$3:$I$207,"&lt;&gt;simple")&gt;0,"YES","")</f>
        <v/>
      </c>
      <c r="L17" s="11" t="s">
        <v>49</v>
      </c>
    </row>
    <row r="18" customFormat="false" ht="15" hidden="false" customHeight="true" outlineLevel="0" collapsed="false">
      <c r="A18" s="3" t="s">
        <v>80</v>
      </c>
      <c r="B18" s="7" t="s">
        <v>81</v>
      </c>
      <c r="C18" s="5" t="n">
        <v>1</v>
      </c>
      <c r="D18" s="3"/>
      <c r="E18" s="7" t="s">
        <v>82</v>
      </c>
      <c r="F18" s="5" t="n">
        <v>15</v>
      </c>
      <c r="G18" s="8" t="n">
        <f aca="false">VLOOKUP(C18,Tier_Constants!$A$3:$E$8,2,FALSE())</f>
        <v>2</v>
      </c>
      <c r="H18" s="9" t="n">
        <f aca="false">VLOOKUP(C18,Tier_Constants!$A$3:$E$8,3,FALSE())</f>
        <v>8</v>
      </c>
      <c r="I18" s="8" t="n">
        <f aca="false">COUNTIF(Recipes!$B$3:$B$207,A18)</f>
        <v>1</v>
      </c>
      <c r="J18" s="8" t="n">
        <f aca="false">COUNTIF(Recipes!$E$3:$E$207,A18)+COUNTIF(Recipes!$G$3:$G$207,A18)</f>
        <v>5</v>
      </c>
      <c r="K18" s="10" t="str">
        <f aca="false">IF(COUNTIFS(Recipes!$B$3:$B$207,A18,Recipes!$I$3:$I$207,"&lt;&gt;simple")&gt;0,"YES","")</f>
        <v/>
      </c>
      <c r="L18" s="11" t="s">
        <v>33</v>
      </c>
    </row>
    <row r="19" customFormat="false" ht="26.25" hidden="false" customHeight="true" outlineLevel="0" collapsed="false">
      <c r="A19" s="3" t="s">
        <v>83</v>
      </c>
      <c r="B19" s="7" t="s">
        <v>84</v>
      </c>
      <c r="C19" s="5" t="n">
        <v>1</v>
      </c>
      <c r="D19" s="3"/>
      <c r="E19" s="7" t="s">
        <v>85</v>
      </c>
      <c r="F19" s="5" t="n">
        <v>16</v>
      </c>
      <c r="G19" s="8" t="n">
        <f aca="false">VLOOKUP(C19,Tier_Constants!$A$3:$E$8,2,FALSE())</f>
        <v>2</v>
      </c>
      <c r="H19" s="9" t="n">
        <f aca="false">VLOOKUP(C19,Tier_Constants!$A$3:$E$8,3,FALSE())</f>
        <v>8</v>
      </c>
      <c r="I19" s="8" t="n">
        <f aca="false">COUNTIF(Recipes!$B$3:$B$207,A19)</f>
        <v>1</v>
      </c>
      <c r="J19" s="8" t="n">
        <f aca="false">COUNTIF(Recipes!$E$3:$E$207,A19)+COUNTIF(Recipes!$G$3:$G$207,A19)</f>
        <v>7</v>
      </c>
      <c r="K19" s="10" t="str">
        <f aca="false">IF(COUNTIFS(Recipes!$B$3:$B$207,A19,Recipes!$I$3:$I$207,"&lt;&gt;simple")&gt;0,"YES","")</f>
        <v/>
      </c>
      <c r="L19" s="11" t="s">
        <v>37</v>
      </c>
    </row>
    <row r="20" customFormat="false" ht="15" hidden="false" customHeight="true" outlineLevel="0" collapsed="false">
      <c r="A20" s="3" t="s">
        <v>86</v>
      </c>
      <c r="B20" s="7" t="s">
        <v>87</v>
      </c>
      <c r="C20" s="5" t="n">
        <v>1</v>
      </c>
      <c r="D20" s="3"/>
      <c r="E20" s="7" t="s">
        <v>88</v>
      </c>
      <c r="F20" s="5" t="n">
        <v>13</v>
      </c>
      <c r="G20" s="8" t="n">
        <f aca="false">VLOOKUP(C20,Tier_Constants!$A$3:$E$8,2,FALSE())</f>
        <v>2</v>
      </c>
      <c r="H20" s="9" t="n">
        <f aca="false">VLOOKUP(C20,Tier_Constants!$A$3:$E$8,3,FALSE())</f>
        <v>8</v>
      </c>
      <c r="I20" s="8" t="n">
        <f aca="false">COUNTIF(Recipes!$B$3:$B$207,A20)</f>
        <v>1</v>
      </c>
      <c r="J20" s="8" t="n">
        <f aca="false">COUNTIF(Recipes!$E$3:$E$207,A20)+COUNTIF(Recipes!$G$3:$G$207,A20)</f>
        <v>5</v>
      </c>
      <c r="K20" s="10" t="str">
        <f aca="false">IF(COUNTIFS(Recipes!$B$3:$B$207,A20,Recipes!$I$3:$I$207,"&lt;&gt;simple")&gt;0,"YES","")</f>
        <v/>
      </c>
      <c r="L20" s="11" t="s">
        <v>41</v>
      </c>
    </row>
    <row r="21" customFormat="false" ht="15" hidden="false" customHeight="true" outlineLevel="0" collapsed="false">
      <c r="A21" s="3" t="s">
        <v>89</v>
      </c>
      <c r="B21" s="7" t="s">
        <v>90</v>
      </c>
      <c r="C21" s="5" t="n">
        <v>1</v>
      </c>
      <c r="D21" s="3"/>
      <c r="E21" s="7" t="s">
        <v>91</v>
      </c>
      <c r="F21" s="5" t="n">
        <v>18</v>
      </c>
      <c r="G21" s="8" t="n">
        <f aca="false">VLOOKUP(C21,Tier_Constants!$A$3:$E$8,2,FALSE())</f>
        <v>2</v>
      </c>
      <c r="H21" s="9" t="n">
        <f aca="false">VLOOKUP(C21,Tier_Constants!$A$3:$E$8,3,FALSE())</f>
        <v>8</v>
      </c>
      <c r="I21" s="8" t="n">
        <f aca="false">COUNTIF(Recipes!$B$3:$B$207,A21)</f>
        <v>1</v>
      </c>
      <c r="J21" s="8" t="n">
        <f aca="false">COUNTIF(Recipes!$E$3:$E$207,A21)+COUNTIF(Recipes!$G$3:$G$207,A21)</f>
        <v>6</v>
      </c>
      <c r="K21" s="10" t="str">
        <f aca="false">IF(COUNTIFS(Recipes!$B$3:$B$207,A21,Recipes!$I$3:$I$207,"&lt;&gt;simple")&gt;0,"YES","")</f>
        <v/>
      </c>
      <c r="L21" s="11" t="s">
        <v>45</v>
      </c>
    </row>
    <row r="22" customFormat="false" ht="15" hidden="false" customHeight="true" outlineLevel="0" collapsed="false">
      <c r="A22" s="3" t="s">
        <v>92</v>
      </c>
      <c r="B22" s="7" t="s">
        <v>93</v>
      </c>
      <c r="C22" s="5" t="n">
        <v>1</v>
      </c>
      <c r="D22" s="3"/>
      <c r="E22" s="7" t="s">
        <v>94</v>
      </c>
      <c r="F22" s="5" t="n">
        <v>20</v>
      </c>
      <c r="G22" s="8" t="n">
        <f aca="false">VLOOKUP(C22,Tier_Constants!$A$3:$E$8,2,FALSE())</f>
        <v>2</v>
      </c>
      <c r="H22" s="9" t="n">
        <f aca="false">VLOOKUP(C22,Tier_Constants!$A$3:$E$8,3,FALSE())</f>
        <v>8</v>
      </c>
      <c r="I22" s="8" t="n">
        <f aca="false">COUNTIF(Recipes!$B$3:$B$207,A22)</f>
        <v>1</v>
      </c>
      <c r="J22" s="8" t="n">
        <f aca="false">COUNTIF(Recipes!$E$3:$E$207,A22)+COUNTIF(Recipes!$G$3:$G$207,A22)</f>
        <v>4</v>
      </c>
      <c r="K22" s="10" t="str">
        <f aca="false">IF(COUNTIFS(Recipes!$B$3:$B$207,A22,Recipes!$I$3:$I$207,"&lt;&gt;simple")&gt;0,"YES","")</f>
        <v/>
      </c>
      <c r="L22" s="11" t="s">
        <v>49</v>
      </c>
    </row>
    <row r="23" customFormat="false" ht="15" hidden="false" customHeight="true" outlineLevel="0" collapsed="false">
      <c r="A23" s="3" t="s">
        <v>95</v>
      </c>
      <c r="B23" s="7" t="s">
        <v>96</v>
      </c>
      <c r="C23" s="5" t="n">
        <v>1</v>
      </c>
      <c r="D23" s="3"/>
      <c r="E23" s="7" t="s">
        <v>97</v>
      </c>
      <c r="F23" s="5" t="n">
        <v>21</v>
      </c>
      <c r="G23" s="8" t="n">
        <f aca="false">VLOOKUP(C23,Tier_Constants!$A$3:$E$8,2,FALSE())</f>
        <v>2</v>
      </c>
      <c r="H23" s="9" t="n">
        <f aca="false">VLOOKUP(C23,Tier_Constants!$A$3:$E$8,3,FALSE())</f>
        <v>8</v>
      </c>
      <c r="I23" s="8" t="n">
        <f aca="false">COUNTIF(Recipes!$B$3:$B$207,A23)</f>
        <v>1</v>
      </c>
      <c r="J23" s="8" t="n">
        <f aca="false">COUNTIF(Recipes!$E$3:$E$207,A23)+COUNTIF(Recipes!$G$3:$G$207,A23)</f>
        <v>5</v>
      </c>
      <c r="K23" s="10" t="str">
        <f aca="false">IF(COUNTIFS(Recipes!$B$3:$B$207,A23,Recipes!$I$3:$I$207,"&lt;&gt;simple")&gt;0,"YES","")</f>
        <v/>
      </c>
      <c r="L23" s="11" t="s">
        <v>33</v>
      </c>
    </row>
    <row r="24" customFormat="false" ht="26.25" hidden="false" customHeight="true" outlineLevel="0" collapsed="false">
      <c r="A24" s="3" t="s">
        <v>98</v>
      </c>
      <c r="B24" s="7" t="s">
        <v>99</v>
      </c>
      <c r="C24" s="5" t="n">
        <v>1</v>
      </c>
      <c r="D24" s="3"/>
      <c r="E24" s="7" t="s">
        <v>100</v>
      </c>
      <c r="F24" s="5" t="n">
        <v>18</v>
      </c>
      <c r="G24" s="8" t="n">
        <f aca="false">VLOOKUP(C24,Tier_Constants!$A$3:$E$8,2,FALSE())</f>
        <v>2</v>
      </c>
      <c r="H24" s="9" t="n">
        <f aca="false">VLOOKUP(C24,Tier_Constants!$A$3:$E$8,3,FALSE())</f>
        <v>8</v>
      </c>
      <c r="I24" s="8" t="n">
        <f aca="false">COUNTIF(Recipes!$B$3:$B$207,A24)</f>
        <v>1</v>
      </c>
      <c r="J24" s="8" t="n">
        <f aca="false">COUNTIF(Recipes!$E$3:$E$207,A24)+COUNTIF(Recipes!$G$3:$G$207,A24)</f>
        <v>7</v>
      </c>
      <c r="K24" s="10" t="str">
        <f aca="false">IF(COUNTIFS(Recipes!$B$3:$B$207,A24,Recipes!$I$3:$I$207,"&lt;&gt;simple")&gt;0,"YES","")</f>
        <v/>
      </c>
      <c r="L24" s="11" t="s">
        <v>37</v>
      </c>
    </row>
    <row r="25" customFormat="false" ht="15" hidden="false" customHeight="true" outlineLevel="0" collapsed="false">
      <c r="A25" s="3" t="s">
        <v>101</v>
      </c>
      <c r="B25" s="7" t="s">
        <v>102</v>
      </c>
      <c r="C25" s="5" t="n">
        <v>1</v>
      </c>
      <c r="D25" s="3"/>
      <c r="E25" s="7" t="s">
        <v>103</v>
      </c>
      <c r="F25" s="5" t="n">
        <v>23</v>
      </c>
      <c r="G25" s="8" t="n">
        <f aca="false">VLOOKUP(C25,Tier_Constants!$A$3:$E$8,2,FALSE())</f>
        <v>2</v>
      </c>
      <c r="H25" s="9" t="n">
        <f aca="false">VLOOKUP(C25,Tier_Constants!$A$3:$E$8,3,FALSE())</f>
        <v>8</v>
      </c>
      <c r="I25" s="8" t="n">
        <f aca="false">COUNTIF(Recipes!$B$3:$B$207,A25)</f>
        <v>1</v>
      </c>
      <c r="J25" s="8" t="n">
        <f aca="false">COUNTIF(Recipes!$E$3:$E$207,A25)+COUNTIF(Recipes!$G$3:$G$207,A25)</f>
        <v>6</v>
      </c>
      <c r="K25" s="10" t="str">
        <f aca="false">IF(COUNTIFS(Recipes!$B$3:$B$207,A25,Recipes!$I$3:$I$207,"&lt;&gt;simple")&gt;0,"YES","")</f>
        <v/>
      </c>
      <c r="L25" s="11" t="s">
        <v>41</v>
      </c>
    </row>
    <row r="26" customFormat="false" ht="15" hidden="false" customHeight="true" outlineLevel="0" collapsed="false">
      <c r="A26" s="3" t="s">
        <v>104</v>
      </c>
      <c r="B26" s="7" t="s">
        <v>105</v>
      </c>
      <c r="C26" s="5" t="n">
        <v>1</v>
      </c>
      <c r="D26" s="3"/>
      <c r="E26" s="7" t="s">
        <v>106</v>
      </c>
      <c r="F26" s="5" t="n">
        <v>10</v>
      </c>
      <c r="G26" s="8" t="n">
        <f aca="false">VLOOKUP(C26,Tier_Constants!$A$3:$E$8,2,FALSE())</f>
        <v>2</v>
      </c>
      <c r="H26" s="9" t="n">
        <f aca="false">VLOOKUP(C26,Tier_Constants!$A$3:$E$8,3,FALSE())</f>
        <v>8</v>
      </c>
      <c r="I26" s="8" t="n">
        <f aca="false">COUNTIF(Recipes!$B$3:$B$207,A26)</f>
        <v>1</v>
      </c>
      <c r="J26" s="8" t="n">
        <f aca="false">COUNTIF(Recipes!$E$3:$E$207,A26)+COUNTIF(Recipes!$G$3:$G$207,A26)</f>
        <v>5</v>
      </c>
      <c r="K26" s="10" t="str">
        <f aca="false">IF(COUNTIFS(Recipes!$B$3:$B$207,A26,Recipes!$I$3:$I$207,"&lt;&gt;simple")&gt;0,"YES","")</f>
        <v/>
      </c>
      <c r="L26" s="11" t="s">
        <v>45</v>
      </c>
    </row>
    <row r="27" customFormat="false" ht="15" hidden="false" customHeight="true" outlineLevel="0" collapsed="false">
      <c r="A27" s="3" t="s">
        <v>107</v>
      </c>
      <c r="B27" s="7" t="s">
        <v>108</v>
      </c>
      <c r="C27" s="5" t="n">
        <v>1</v>
      </c>
      <c r="D27" s="3"/>
      <c r="E27" s="7" t="s">
        <v>109</v>
      </c>
      <c r="F27" s="5" t="n">
        <v>22</v>
      </c>
      <c r="G27" s="8" t="n">
        <f aca="false">VLOOKUP(C27,Tier_Constants!$A$3:$E$8,2,FALSE())</f>
        <v>2</v>
      </c>
      <c r="H27" s="9" t="n">
        <f aca="false">VLOOKUP(C27,Tier_Constants!$A$3:$E$8,3,FALSE())</f>
        <v>8</v>
      </c>
      <c r="I27" s="8" t="n">
        <f aca="false">COUNTIF(Recipes!$B$3:$B$207,A27)</f>
        <v>1</v>
      </c>
      <c r="J27" s="8" t="n">
        <f aca="false">COUNTIF(Recipes!$E$3:$E$207,A27)+COUNTIF(Recipes!$G$3:$G$207,A27)</f>
        <v>4</v>
      </c>
      <c r="K27" s="10" t="str">
        <f aca="false">IF(COUNTIFS(Recipes!$B$3:$B$207,A27,Recipes!$I$3:$I$207,"&lt;&gt;simple")&gt;0,"YES","")</f>
        <v/>
      </c>
      <c r="L27" s="11" t="s">
        <v>49</v>
      </c>
    </row>
    <row r="28" customFormat="false" ht="15" hidden="false" customHeight="true" outlineLevel="0" collapsed="false">
      <c r="A28" s="3" t="s">
        <v>110</v>
      </c>
      <c r="B28" s="7" t="s">
        <v>111</v>
      </c>
      <c r="C28" s="5" t="n">
        <v>1</v>
      </c>
      <c r="D28" s="3"/>
      <c r="E28" s="7" t="s">
        <v>112</v>
      </c>
      <c r="F28" s="5" t="n">
        <v>17</v>
      </c>
      <c r="G28" s="8" t="n">
        <f aca="false">VLOOKUP(C28,Tier_Constants!$A$3:$E$8,2,FALSE())</f>
        <v>2</v>
      </c>
      <c r="H28" s="9" t="n">
        <f aca="false">VLOOKUP(C28,Tier_Constants!$A$3:$E$8,3,FALSE())</f>
        <v>8</v>
      </c>
      <c r="I28" s="8" t="n">
        <f aca="false">COUNTIF(Recipes!$B$3:$B$207,A28)</f>
        <v>1</v>
      </c>
      <c r="J28" s="8" t="n">
        <f aca="false">COUNTIF(Recipes!$E$3:$E$207,A28)+COUNTIF(Recipes!$G$3:$G$207,A28)</f>
        <v>3</v>
      </c>
      <c r="K28" s="10" t="str">
        <f aca="false">IF(COUNTIFS(Recipes!$B$3:$B$207,A28,Recipes!$I$3:$I$207,"&lt;&gt;simple")&gt;0,"YES","")</f>
        <v/>
      </c>
      <c r="L28" s="11" t="s">
        <v>33</v>
      </c>
    </row>
    <row r="29" customFormat="false" ht="26.25" hidden="false" customHeight="true" outlineLevel="0" collapsed="false">
      <c r="A29" s="3" t="s">
        <v>113</v>
      </c>
      <c r="B29" s="7" t="s">
        <v>114</v>
      </c>
      <c r="C29" s="5" t="n">
        <v>1</v>
      </c>
      <c r="D29" s="3"/>
      <c r="E29" s="7" t="s">
        <v>115</v>
      </c>
      <c r="F29" s="5" t="n">
        <v>13</v>
      </c>
      <c r="G29" s="8" t="n">
        <f aca="false">VLOOKUP(C29,Tier_Constants!$A$3:$E$8,2,FALSE())</f>
        <v>2</v>
      </c>
      <c r="H29" s="9" t="n">
        <f aca="false">VLOOKUP(C29,Tier_Constants!$A$3:$E$8,3,FALSE())</f>
        <v>8</v>
      </c>
      <c r="I29" s="8" t="n">
        <f aca="false">COUNTIF(Recipes!$B$3:$B$207,A29)</f>
        <v>1</v>
      </c>
      <c r="J29" s="8" t="n">
        <f aca="false">COUNTIF(Recipes!$E$3:$E$207,A29)+COUNTIF(Recipes!$G$3:$G$207,A29)</f>
        <v>5</v>
      </c>
      <c r="K29" s="10" t="str">
        <f aca="false">IF(COUNTIFS(Recipes!$B$3:$B$207,A29,Recipes!$I$3:$I$207,"&lt;&gt;simple")&gt;0,"YES","")</f>
        <v/>
      </c>
      <c r="L29" s="11" t="s">
        <v>37</v>
      </c>
    </row>
    <row r="30" customFormat="false" ht="15" hidden="false" customHeight="true" outlineLevel="0" collapsed="false">
      <c r="A30" s="3" t="s">
        <v>116</v>
      </c>
      <c r="B30" s="7" t="s">
        <v>117</v>
      </c>
      <c r="C30" s="5" t="n">
        <v>1</v>
      </c>
      <c r="D30" s="3"/>
      <c r="E30" s="7" t="s">
        <v>118</v>
      </c>
      <c r="F30" s="5" t="n">
        <v>14</v>
      </c>
      <c r="G30" s="8" t="n">
        <f aca="false">VLOOKUP(C30,Tier_Constants!$A$3:$E$8,2,FALSE())</f>
        <v>2</v>
      </c>
      <c r="H30" s="9" t="n">
        <f aca="false">VLOOKUP(C30,Tier_Constants!$A$3:$E$8,3,FALSE())</f>
        <v>8</v>
      </c>
      <c r="I30" s="8" t="n">
        <f aca="false">COUNTIF(Recipes!$B$3:$B$207,A30)</f>
        <v>1</v>
      </c>
      <c r="J30" s="8" t="n">
        <f aca="false">COUNTIF(Recipes!$E$3:$E$207,A30)+COUNTIF(Recipes!$G$3:$G$207,A30)</f>
        <v>5</v>
      </c>
      <c r="K30" s="10" t="str">
        <f aca="false">IF(COUNTIFS(Recipes!$B$3:$B$207,A30,Recipes!$I$3:$I$207,"&lt;&gt;simple")&gt;0,"YES","")</f>
        <v/>
      </c>
      <c r="L30" s="11" t="s">
        <v>41</v>
      </c>
    </row>
    <row r="31" customFormat="false" ht="15" hidden="false" customHeight="true" outlineLevel="0" collapsed="false">
      <c r="A31" s="3" t="s">
        <v>119</v>
      </c>
      <c r="B31" s="7" t="s">
        <v>120</v>
      </c>
      <c r="C31" s="5" t="n">
        <v>1</v>
      </c>
      <c r="D31" s="3"/>
      <c r="E31" s="7" t="s">
        <v>36</v>
      </c>
      <c r="F31" s="5" t="n">
        <v>19</v>
      </c>
      <c r="G31" s="8" t="n">
        <f aca="false">VLOOKUP(C31,Tier_Constants!$A$3:$E$8,2,FALSE())</f>
        <v>2</v>
      </c>
      <c r="H31" s="9" t="n">
        <f aca="false">VLOOKUP(C31,Tier_Constants!$A$3:$E$8,3,FALSE())</f>
        <v>8</v>
      </c>
      <c r="I31" s="8" t="n">
        <f aca="false">COUNTIF(Recipes!$B$3:$B$207,A31)</f>
        <v>1</v>
      </c>
      <c r="J31" s="8" t="n">
        <f aca="false">COUNTIF(Recipes!$E$3:$E$207,A31)+COUNTIF(Recipes!$G$3:$G$207,A31)</f>
        <v>3</v>
      </c>
      <c r="K31" s="10" t="str">
        <f aca="false">IF(COUNTIFS(Recipes!$B$3:$B$207,A31,Recipes!$I$3:$I$207,"&lt;&gt;simple")&gt;0,"YES","")</f>
        <v/>
      </c>
      <c r="L31" s="11" t="s">
        <v>45</v>
      </c>
    </row>
    <row r="32" customFormat="false" ht="15" hidden="false" customHeight="true" outlineLevel="0" collapsed="false">
      <c r="A32" s="3" t="s">
        <v>121</v>
      </c>
      <c r="B32" s="7" t="s">
        <v>122</v>
      </c>
      <c r="C32" s="5" t="n">
        <v>1</v>
      </c>
      <c r="D32" s="3"/>
      <c r="E32" s="7" t="s">
        <v>123</v>
      </c>
      <c r="F32" s="5" t="n">
        <v>12</v>
      </c>
      <c r="G32" s="8" t="n">
        <f aca="false">VLOOKUP(C32,Tier_Constants!$A$3:$E$8,2,FALSE())</f>
        <v>2</v>
      </c>
      <c r="H32" s="9" t="n">
        <f aca="false">VLOOKUP(C32,Tier_Constants!$A$3:$E$8,3,FALSE())</f>
        <v>8</v>
      </c>
      <c r="I32" s="8" t="n">
        <f aca="false">COUNTIF(Recipes!$B$3:$B$207,A32)</f>
        <v>1</v>
      </c>
      <c r="J32" s="8" t="n">
        <f aca="false">COUNTIF(Recipes!$E$3:$E$207,A32)+COUNTIF(Recipes!$G$3:$G$207,A32)</f>
        <v>4</v>
      </c>
      <c r="K32" s="10" t="str">
        <f aca="false">IF(COUNTIFS(Recipes!$B$3:$B$207,A32,Recipes!$I$3:$I$207,"&lt;&gt;simple")&gt;0,"YES","")</f>
        <v/>
      </c>
      <c r="L32" s="11" t="s">
        <v>49</v>
      </c>
    </row>
    <row r="33" customFormat="false" ht="26.25" hidden="false" customHeight="true" outlineLevel="0" collapsed="false">
      <c r="A33" s="3" t="s">
        <v>124</v>
      </c>
      <c r="B33" s="7" t="s">
        <v>125</v>
      </c>
      <c r="C33" s="5" t="n">
        <v>2</v>
      </c>
      <c r="D33" s="3"/>
      <c r="E33" s="7" t="s">
        <v>126</v>
      </c>
      <c r="F33" s="5" t="n">
        <v>100</v>
      </c>
      <c r="G33" s="8" t="n">
        <f aca="false">VLOOKUP(C33,Tier_Constants!$A$3:$E$8,2,FALSE())</f>
        <v>12</v>
      </c>
      <c r="H33" s="9" t="n">
        <f aca="false">VLOOKUP(C33,Tier_Constants!$A$3:$E$8,3,FALSE())</f>
        <v>11.2</v>
      </c>
      <c r="I33" s="8" t="n">
        <f aca="false">COUNTIF(Recipes!$B$3:$B$207,A33)</f>
        <v>1</v>
      </c>
      <c r="J33" s="8" t="n">
        <f aca="false">COUNTIF(Recipes!$E$3:$E$207,A33)+COUNTIF(Recipes!$G$3:$G$207,A33)</f>
        <v>3</v>
      </c>
      <c r="K33" s="10" t="str">
        <f aca="false">IF(COUNTIFS(Recipes!$B$3:$B$207,A33,Recipes!$I$3:$I$207,"&lt;&gt;simple")&gt;0,"YES","")</f>
        <v/>
      </c>
      <c r="L33" s="11" t="s">
        <v>127</v>
      </c>
    </row>
    <row r="34" customFormat="false" ht="26.25" hidden="false" customHeight="true" outlineLevel="0" collapsed="false">
      <c r="A34" s="3" t="s">
        <v>128</v>
      </c>
      <c r="B34" s="7" t="s">
        <v>129</v>
      </c>
      <c r="C34" s="5" t="n">
        <v>2</v>
      </c>
      <c r="D34" s="3"/>
      <c r="E34" s="7" t="s">
        <v>40</v>
      </c>
      <c r="F34" s="5" t="n">
        <v>115</v>
      </c>
      <c r="G34" s="8" t="n">
        <f aca="false">VLOOKUP(C34,Tier_Constants!$A$3:$E$8,2,FALSE())</f>
        <v>12</v>
      </c>
      <c r="H34" s="9" t="n">
        <f aca="false">VLOOKUP(C34,Tier_Constants!$A$3:$E$8,3,FALSE())</f>
        <v>11.2</v>
      </c>
      <c r="I34" s="8" t="n">
        <f aca="false">COUNTIF(Recipes!$B$3:$B$207,A34)</f>
        <v>2</v>
      </c>
      <c r="J34" s="8" t="n">
        <f aca="false">COUNTIF(Recipes!$E$3:$E$207,A34)+COUNTIF(Recipes!$G$3:$G$207,A34)</f>
        <v>3</v>
      </c>
      <c r="K34" s="10" t="str">
        <f aca="false">IF(COUNTIFS(Recipes!$B$3:$B$207,A34,Recipes!$I$3:$I$207,"&lt;&gt;simple")&gt;0,"YES","")</f>
        <v/>
      </c>
      <c r="L34" s="11" t="s">
        <v>130</v>
      </c>
    </row>
    <row r="35" customFormat="false" ht="15" hidden="false" customHeight="true" outlineLevel="0" collapsed="false">
      <c r="A35" s="3" t="s">
        <v>131</v>
      </c>
      <c r="B35" s="7" t="s">
        <v>132</v>
      </c>
      <c r="C35" s="5" t="n">
        <v>2</v>
      </c>
      <c r="D35" s="3"/>
      <c r="E35" s="7" t="s">
        <v>133</v>
      </c>
      <c r="F35" s="5" t="n">
        <v>110</v>
      </c>
      <c r="G35" s="8" t="n">
        <f aca="false">VLOOKUP(C35,Tier_Constants!$A$3:$E$8,2,FALSE())</f>
        <v>12</v>
      </c>
      <c r="H35" s="9" t="n">
        <f aca="false">VLOOKUP(C35,Tier_Constants!$A$3:$E$8,3,FALSE())</f>
        <v>11.2</v>
      </c>
      <c r="I35" s="8" t="n">
        <f aca="false">COUNTIF(Recipes!$B$3:$B$207,A35)</f>
        <v>2</v>
      </c>
      <c r="J35" s="8" t="n">
        <f aca="false">COUNTIF(Recipes!$E$3:$E$207,A35)+COUNTIF(Recipes!$G$3:$G$207,A35)</f>
        <v>3</v>
      </c>
      <c r="K35" s="10" t="str">
        <f aca="false">IF(COUNTIFS(Recipes!$B$3:$B$207,A35,Recipes!$I$3:$I$207,"&lt;&gt;simple")&gt;0,"YES","")</f>
        <v/>
      </c>
      <c r="L35" s="11" t="s">
        <v>134</v>
      </c>
    </row>
    <row r="36" customFormat="false" ht="15" hidden="false" customHeight="true" outlineLevel="0" collapsed="false">
      <c r="A36" s="3" t="s">
        <v>135</v>
      </c>
      <c r="B36" s="7" t="s">
        <v>136</v>
      </c>
      <c r="C36" s="5" t="n">
        <v>2</v>
      </c>
      <c r="D36" s="3"/>
      <c r="E36" s="7" t="s">
        <v>137</v>
      </c>
      <c r="F36" s="5" t="n">
        <v>150</v>
      </c>
      <c r="G36" s="8" t="n">
        <f aca="false">VLOOKUP(C36,Tier_Constants!$A$3:$E$8,2,FALSE())</f>
        <v>12</v>
      </c>
      <c r="H36" s="9" t="n">
        <f aca="false">VLOOKUP(C36,Tier_Constants!$A$3:$E$8,3,FALSE())</f>
        <v>11.2</v>
      </c>
      <c r="I36" s="8" t="n">
        <f aca="false">COUNTIF(Recipes!$B$3:$B$207,A36)</f>
        <v>1</v>
      </c>
      <c r="J36" s="8" t="n">
        <f aca="false">COUNTIF(Recipes!$E$3:$E$207,A36)+COUNTIF(Recipes!$G$3:$G$207,A36)</f>
        <v>3</v>
      </c>
      <c r="K36" s="10" t="str">
        <f aca="false">IF(COUNTIFS(Recipes!$B$3:$B$207,A36,Recipes!$I$3:$I$207,"&lt;&gt;simple")&gt;0,"YES","")</f>
        <v/>
      </c>
      <c r="L36" s="11" t="s">
        <v>138</v>
      </c>
    </row>
    <row r="37" customFormat="false" ht="15" hidden="false" customHeight="true" outlineLevel="0" collapsed="false">
      <c r="A37" s="3" t="s">
        <v>139</v>
      </c>
      <c r="B37" s="7" t="s">
        <v>140</v>
      </c>
      <c r="C37" s="5" t="n">
        <v>2</v>
      </c>
      <c r="D37" s="3"/>
      <c r="E37" s="7" t="s">
        <v>55</v>
      </c>
      <c r="F37" s="5" t="n">
        <v>130</v>
      </c>
      <c r="G37" s="8" t="n">
        <f aca="false">VLOOKUP(C37,Tier_Constants!$A$3:$E$8,2,FALSE())</f>
        <v>12</v>
      </c>
      <c r="H37" s="9" t="n">
        <f aca="false">VLOOKUP(C37,Tier_Constants!$A$3:$E$8,3,FALSE())</f>
        <v>11.2</v>
      </c>
      <c r="I37" s="8" t="n">
        <f aca="false">COUNTIF(Recipes!$B$3:$B$207,A37)</f>
        <v>2</v>
      </c>
      <c r="J37" s="8" t="n">
        <f aca="false">COUNTIF(Recipes!$E$3:$E$207,A37)+COUNTIF(Recipes!$G$3:$G$207,A37)</f>
        <v>3</v>
      </c>
      <c r="K37" s="10" t="str">
        <f aca="false">IF(COUNTIFS(Recipes!$B$3:$B$207,A37,Recipes!$I$3:$I$207,"&lt;&gt;simple")&gt;0,"YES","")</f>
        <v/>
      </c>
      <c r="L37" s="11" t="s">
        <v>141</v>
      </c>
    </row>
    <row r="38" customFormat="false" ht="26.25" hidden="false" customHeight="true" outlineLevel="0" collapsed="false">
      <c r="A38" s="3" t="s">
        <v>142</v>
      </c>
      <c r="B38" s="7" t="s">
        <v>143</v>
      </c>
      <c r="C38" s="5" t="n">
        <v>2</v>
      </c>
      <c r="D38" s="3"/>
      <c r="E38" s="7" t="s">
        <v>144</v>
      </c>
      <c r="F38" s="5" t="n">
        <v>85</v>
      </c>
      <c r="G38" s="8" t="n">
        <f aca="false">VLOOKUP(C38,Tier_Constants!$A$3:$E$8,2,FALSE())</f>
        <v>12</v>
      </c>
      <c r="H38" s="9" t="n">
        <f aca="false">VLOOKUP(C38,Tier_Constants!$A$3:$E$8,3,FALSE())</f>
        <v>11.2</v>
      </c>
      <c r="I38" s="8" t="n">
        <f aca="false">COUNTIF(Recipes!$B$3:$B$207,A38)</f>
        <v>1</v>
      </c>
      <c r="J38" s="8" t="n">
        <f aca="false">COUNTIF(Recipes!$E$3:$E$207,A38)+COUNTIF(Recipes!$G$3:$G$207,A38)</f>
        <v>3</v>
      </c>
      <c r="K38" s="10" t="str">
        <f aca="false">IF(COUNTIFS(Recipes!$B$3:$B$207,A38,Recipes!$I$3:$I$207,"&lt;&gt;simple")&gt;0,"YES","")</f>
        <v/>
      </c>
      <c r="L38" s="11" t="s">
        <v>127</v>
      </c>
    </row>
    <row r="39" customFormat="false" ht="26.25" hidden="false" customHeight="true" outlineLevel="0" collapsed="false">
      <c r="A39" s="3" t="s">
        <v>145</v>
      </c>
      <c r="B39" s="7" t="s">
        <v>146</v>
      </c>
      <c r="C39" s="5" t="n">
        <v>2</v>
      </c>
      <c r="D39" s="3"/>
      <c r="E39" s="7" t="s">
        <v>147</v>
      </c>
      <c r="F39" s="5" t="n">
        <v>115</v>
      </c>
      <c r="G39" s="8" t="n">
        <f aca="false">VLOOKUP(C39,Tier_Constants!$A$3:$E$8,2,FALSE())</f>
        <v>12</v>
      </c>
      <c r="H39" s="9" t="n">
        <f aca="false">VLOOKUP(C39,Tier_Constants!$A$3:$E$8,3,FALSE())</f>
        <v>11.2</v>
      </c>
      <c r="I39" s="8" t="n">
        <f aca="false">COUNTIF(Recipes!$B$3:$B$207,A39)</f>
        <v>1</v>
      </c>
      <c r="J39" s="8" t="n">
        <f aca="false">COUNTIF(Recipes!$E$3:$E$207,A39)+COUNTIF(Recipes!$G$3:$G$207,A39)</f>
        <v>3</v>
      </c>
      <c r="K39" s="10" t="str">
        <f aca="false">IF(COUNTIFS(Recipes!$B$3:$B$207,A39,Recipes!$I$3:$I$207,"&lt;&gt;simple")&gt;0,"YES","")</f>
        <v/>
      </c>
      <c r="L39" s="11" t="s">
        <v>130</v>
      </c>
    </row>
    <row r="40" customFormat="false" ht="15" hidden="false" customHeight="true" outlineLevel="0" collapsed="false">
      <c r="A40" s="3" t="s">
        <v>148</v>
      </c>
      <c r="B40" s="7" t="s">
        <v>149</v>
      </c>
      <c r="C40" s="5" t="n">
        <v>2</v>
      </c>
      <c r="D40" s="3"/>
      <c r="E40" s="7" t="s">
        <v>150</v>
      </c>
      <c r="F40" s="5" t="n">
        <v>120</v>
      </c>
      <c r="G40" s="8" t="n">
        <f aca="false">VLOOKUP(C40,Tier_Constants!$A$3:$E$8,2,FALSE())</f>
        <v>12</v>
      </c>
      <c r="H40" s="9" t="n">
        <f aca="false">VLOOKUP(C40,Tier_Constants!$A$3:$E$8,3,FALSE())</f>
        <v>11.2</v>
      </c>
      <c r="I40" s="8" t="n">
        <f aca="false">COUNTIF(Recipes!$B$3:$B$207,A40)</f>
        <v>1</v>
      </c>
      <c r="J40" s="8" t="n">
        <f aca="false">COUNTIF(Recipes!$E$3:$E$207,A40)+COUNTIF(Recipes!$G$3:$G$207,A40)</f>
        <v>3</v>
      </c>
      <c r="K40" s="10" t="str">
        <f aca="false">IF(COUNTIFS(Recipes!$B$3:$B$207,A40,Recipes!$I$3:$I$207,"&lt;&gt;simple")&gt;0,"YES","")</f>
        <v/>
      </c>
      <c r="L40" s="11" t="s">
        <v>134</v>
      </c>
    </row>
    <row r="41" customFormat="false" ht="15" hidden="false" customHeight="true" outlineLevel="0" collapsed="false">
      <c r="A41" s="3" t="s">
        <v>151</v>
      </c>
      <c r="B41" s="7" t="s">
        <v>152</v>
      </c>
      <c r="C41" s="5" t="n">
        <v>2</v>
      </c>
      <c r="D41" s="3"/>
      <c r="E41" s="7" t="s">
        <v>153</v>
      </c>
      <c r="F41" s="5" t="n">
        <v>80</v>
      </c>
      <c r="G41" s="8" t="n">
        <f aca="false">VLOOKUP(C41,Tier_Constants!$A$3:$E$8,2,FALSE())</f>
        <v>12</v>
      </c>
      <c r="H41" s="9" t="n">
        <f aca="false">VLOOKUP(C41,Tier_Constants!$A$3:$E$8,3,FALSE())</f>
        <v>11.2</v>
      </c>
      <c r="I41" s="8" t="n">
        <f aca="false">COUNTIF(Recipes!$B$3:$B$207,A41)</f>
        <v>1</v>
      </c>
      <c r="J41" s="8" t="n">
        <f aca="false">COUNTIF(Recipes!$E$3:$E$207,A41)+COUNTIF(Recipes!$G$3:$G$207,A41)</f>
        <v>3</v>
      </c>
      <c r="K41" s="10" t="str">
        <f aca="false">IF(COUNTIFS(Recipes!$B$3:$B$207,A41,Recipes!$I$3:$I$207,"&lt;&gt;simple")&gt;0,"YES","")</f>
        <v/>
      </c>
      <c r="L41" s="11" t="s">
        <v>138</v>
      </c>
    </row>
    <row r="42" customFormat="false" ht="15" hidden="false" customHeight="true" outlineLevel="0" collapsed="false">
      <c r="A42" s="3" t="s">
        <v>154</v>
      </c>
      <c r="B42" s="7" t="s">
        <v>155</v>
      </c>
      <c r="C42" s="5" t="n">
        <v>2</v>
      </c>
      <c r="D42" s="3"/>
      <c r="E42" s="7" t="s">
        <v>73</v>
      </c>
      <c r="F42" s="5" t="n">
        <v>100</v>
      </c>
      <c r="G42" s="8" t="n">
        <f aca="false">VLOOKUP(C42,Tier_Constants!$A$3:$E$8,2,FALSE())</f>
        <v>12</v>
      </c>
      <c r="H42" s="9" t="n">
        <f aca="false">VLOOKUP(C42,Tier_Constants!$A$3:$E$8,3,FALSE())</f>
        <v>11.2</v>
      </c>
      <c r="I42" s="8" t="n">
        <f aca="false">COUNTIF(Recipes!$B$3:$B$207,A42)</f>
        <v>1</v>
      </c>
      <c r="J42" s="8" t="n">
        <f aca="false">COUNTIF(Recipes!$E$3:$E$207,A42)+COUNTIF(Recipes!$G$3:$G$207,A42)</f>
        <v>3</v>
      </c>
      <c r="K42" s="10" t="str">
        <f aca="false">IF(COUNTIFS(Recipes!$B$3:$B$207,A42,Recipes!$I$3:$I$207,"&lt;&gt;simple")&gt;0,"YES","")</f>
        <v/>
      </c>
      <c r="L42" s="11" t="s">
        <v>141</v>
      </c>
    </row>
    <row r="43" customFormat="false" ht="26.25" hidden="false" customHeight="true" outlineLevel="0" collapsed="false">
      <c r="A43" s="3" t="s">
        <v>156</v>
      </c>
      <c r="B43" s="7" t="s">
        <v>157</v>
      </c>
      <c r="C43" s="5" t="n">
        <v>2</v>
      </c>
      <c r="D43" s="3"/>
      <c r="E43" s="7" t="s">
        <v>70</v>
      </c>
      <c r="F43" s="5" t="n">
        <v>80</v>
      </c>
      <c r="G43" s="8" t="n">
        <f aca="false">VLOOKUP(C43,Tier_Constants!$A$3:$E$8,2,FALSE())</f>
        <v>12</v>
      </c>
      <c r="H43" s="9" t="n">
        <f aca="false">VLOOKUP(C43,Tier_Constants!$A$3:$E$8,3,FALSE())</f>
        <v>11.2</v>
      </c>
      <c r="I43" s="8" t="n">
        <f aca="false">COUNTIF(Recipes!$B$3:$B$207,A43)</f>
        <v>1</v>
      </c>
      <c r="J43" s="8" t="n">
        <f aca="false">COUNTIF(Recipes!$E$3:$E$207,A43)+COUNTIF(Recipes!$G$3:$G$207,A43)</f>
        <v>4</v>
      </c>
      <c r="K43" s="10" t="str">
        <f aca="false">IF(COUNTIFS(Recipes!$B$3:$B$207,A43,Recipes!$I$3:$I$207,"&lt;&gt;simple")&gt;0,"YES","")</f>
        <v/>
      </c>
      <c r="L43" s="11" t="s">
        <v>127</v>
      </c>
    </row>
    <row r="44" customFormat="false" ht="26.25" hidden="false" customHeight="true" outlineLevel="0" collapsed="false">
      <c r="A44" s="3" t="s">
        <v>158</v>
      </c>
      <c r="B44" s="7" t="s">
        <v>159</v>
      </c>
      <c r="C44" s="5" t="n">
        <v>2</v>
      </c>
      <c r="D44" s="3"/>
      <c r="E44" s="7" t="s">
        <v>160</v>
      </c>
      <c r="F44" s="5" t="n">
        <v>85</v>
      </c>
      <c r="G44" s="8" t="n">
        <f aca="false">VLOOKUP(C44,Tier_Constants!$A$3:$E$8,2,FALSE())</f>
        <v>12</v>
      </c>
      <c r="H44" s="9" t="n">
        <f aca="false">VLOOKUP(C44,Tier_Constants!$A$3:$E$8,3,FALSE())</f>
        <v>11.2</v>
      </c>
      <c r="I44" s="8" t="n">
        <f aca="false">COUNTIF(Recipes!$B$3:$B$207,A44)</f>
        <v>1</v>
      </c>
      <c r="J44" s="8" t="n">
        <f aca="false">COUNTIF(Recipes!$E$3:$E$207,A44)+COUNTIF(Recipes!$G$3:$G$207,A44)</f>
        <v>4</v>
      </c>
      <c r="K44" s="10" t="str">
        <f aca="false">IF(COUNTIFS(Recipes!$B$3:$B$207,A44,Recipes!$I$3:$I$207,"&lt;&gt;simple")&gt;0,"YES","")</f>
        <v/>
      </c>
      <c r="L44" s="11" t="s">
        <v>130</v>
      </c>
    </row>
    <row r="45" customFormat="false" ht="15" hidden="false" customHeight="true" outlineLevel="0" collapsed="false">
      <c r="A45" s="3" t="s">
        <v>161</v>
      </c>
      <c r="B45" s="7" t="s">
        <v>162</v>
      </c>
      <c r="C45" s="5" t="n">
        <v>2</v>
      </c>
      <c r="D45" s="3"/>
      <c r="E45" s="7" t="s">
        <v>163</v>
      </c>
      <c r="F45" s="5" t="n">
        <v>135</v>
      </c>
      <c r="G45" s="8" t="n">
        <f aca="false">VLOOKUP(C45,Tier_Constants!$A$3:$E$8,2,FALSE())</f>
        <v>12</v>
      </c>
      <c r="H45" s="9" t="n">
        <f aca="false">VLOOKUP(C45,Tier_Constants!$A$3:$E$8,3,FALSE())</f>
        <v>11.2</v>
      </c>
      <c r="I45" s="8" t="n">
        <f aca="false">COUNTIF(Recipes!$B$3:$B$207,A45)</f>
        <v>1</v>
      </c>
      <c r="J45" s="8" t="n">
        <f aca="false">COUNTIF(Recipes!$E$3:$E$207,A45)+COUNTIF(Recipes!$G$3:$G$207,A45)</f>
        <v>3</v>
      </c>
      <c r="K45" s="10" t="str">
        <f aca="false">IF(COUNTIFS(Recipes!$B$3:$B$207,A45,Recipes!$I$3:$I$207,"&lt;&gt;simple")&gt;0,"YES","")</f>
        <v/>
      </c>
      <c r="L45" s="11" t="s">
        <v>134</v>
      </c>
    </row>
    <row r="46" customFormat="false" ht="15" hidden="false" customHeight="true" outlineLevel="0" collapsed="false">
      <c r="A46" s="3" t="s">
        <v>164</v>
      </c>
      <c r="B46" s="7" t="s">
        <v>165</v>
      </c>
      <c r="C46" s="5" t="n">
        <v>2</v>
      </c>
      <c r="D46" s="3"/>
      <c r="E46" s="7" t="s">
        <v>61</v>
      </c>
      <c r="F46" s="5" t="n">
        <v>125</v>
      </c>
      <c r="G46" s="8" t="n">
        <f aca="false">VLOOKUP(C46,Tier_Constants!$A$3:$E$8,2,FALSE())</f>
        <v>12</v>
      </c>
      <c r="H46" s="9" t="n">
        <f aca="false">VLOOKUP(C46,Tier_Constants!$A$3:$E$8,3,FALSE())</f>
        <v>11.2</v>
      </c>
      <c r="I46" s="8" t="n">
        <f aca="false">COUNTIF(Recipes!$B$3:$B$207,A46)</f>
        <v>2</v>
      </c>
      <c r="J46" s="8" t="n">
        <f aca="false">COUNTIF(Recipes!$E$3:$E$207,A46)+COUNTIF(Recipes!$G$3:$G$207,A46)</f>
        <v>3</v>
      </c>
      <c r="K46" s="10" t="str">
        <f aca="false">IF(COUNTIFS(Recipes!$B$3:$B$207,A46,Recipes!$I$3:$I$207,"&lt;&gt;simple")&gt;0,"YES","")</f>
        <v/>
      </c>
      <c r="L46" s="11" t="s">
        <v>138</v>
      </c>
    </row>
    <row r="47" customFormat="false" ht="15" hidden="false" customHeight="true" outlineLevel="0" collapsed="false">
      <c r="A47" s="3" t="s">
        <v>166</v>
      </c>
      <c r="B47" s="7" t="s">
        <v>167</v>
      </c>
      <c r="C47" s="5" t="n">
        <v>2</v>
      </c>
      <c r="D47" s="3"/>
      <c r="E47" s="7" t="s">
        <v>58</v>
      </c>
      <c r="F47" s="5" t="n">
        <v>95</v>
      </c>
      <c r="G47" s="8" t="n">
        <f aca="false">VLOOKUP(C47,Tier_Constants!$A$3:$E$8,2,FALSE())</f>
        <v>12</v>
      </c>
      <c r="H47" s="9" t="n">
        <f aca="false">VLOOKUP(C47,Tier_Constants!$A$3:$E$8,3,FALSE())</f>
        <v>11.2</v>
      </c>
      <c r="I47" s="8" t="n">
        <f aca="false">COUNTIF(Recipes!$B$3:$B$207,A47)</f>
        <v>2</v>
      </c>
      <c r="J47" s="8" t="n">
        <f aca="false">COUNTIF(Recipes!$E$3:$E$207,A47)+COUNTIF(Recipes!$G$3:$G$207,A47)</f>
        <v>2</v>
      </c>
      <c r="K47" s="10" t="str">
        <f aca="false">IF(COUNTIFS(Recipes!$B$3:$B$207,A47,Recipes!$I$3:$I$207,"&lt;&gt;simple")&gt;0,"YES","")</f>
        <v/>
      </c>
      <c r="L47" s="11" t="s">
        <v>141</v>
      </c>
    </row>
    <row r="48" customFormat="false" ht="26.25" hidden="false" customHeight="true" outlineLevel="0" collapsed="false">
      <c r="A48" s="3" t="s">
        <v>168</v>
      </c>
      <c r="B48" s="7" t="s">
        <v>169</v>
      </c>
      <c r="C48" s="5" t="n">
        <v>2</v>
      </c>
      <c r="D48" s="3"/>
      <c r="E48" s="7" t="s">
        <v>64</v>
      </c>
      <c r="F48" s="5" t="n">
        <v>95</v>
      </c>
      <c r="G48" s="8" t="n">
        <f aca="false">VLOOKUP(C48,Tier_Constants!$A$3:$E$8,2,FALSE())</f>
        <v>12</v>
      </c>
      <c r="H48" s="9" t="n">
        <f aca="false">VLOOKUP(C48,Tier_Constants!$A$3:$E$8,3,FALSE())</f>
        <v>11.2</v>
      </c>
      <c r="I48" s="8" t="n">
        <f aca="false">COUNTIF(Recipes!$B$3:$B$207,A48)</f>
        <v>2</v>
      </c>
      <c r="J48" s="8" t="n">
        <f aca="false">COUNTIF(Recipes!$E$3:$E$207,A48)+COUNTIF(Recipes!$G$3:$G$207,A48)</f>
        <v>2</v>
      </c>
      <c r="K48" s="10" t="str">
        <f aca="false">IF(COUNTIFS(Recipes!$B$3:$B$207,A48,Recipes!$I$3:$I$207,"&lt;&gt;simple")&gt;0,"YES","")</f>
        <v/>
      </c>
      <c r="L48" s="11" t="s">
        <v>127</v>
      </c>
    </row>
    <row r="49" customFormat="false" ht="26.25" hidden="false" customHeight="true" outlineLevel="0" collapsed="false">
      <c r="A49" s="3" t="s">
        <v>170</v>
      </c>
      <c r="B49" s="7" t="s">
        <v>171</v>
      </c>
      <c r="C49" s="5" t="n">
        <v>2</v>
      </c>
      <c r="D49" s="3"/>
      <c r="E49" s="7" t="s">
        <v>172</v>
      </c>
      <c r="F49" s="5" t="n">
        <v>90</v>
      </c>
      <c r="G49" s="8" t="n">
        <f aca="false">VLOOKUP(C49,Tier_Constants!$A$3:$E$8,2,FALSE())</f>
        <v>12</v>
      </c>
      <c r="H49" s="9" t="n">
        <f aca="false">VLOOKUP(C49,Tier_Constants!$A$3:$E$8,3,FALSE())</f>
        <v>11.2</v>
      </c>
      <c r="I49" s="8" t="n">
        <f aca="false">COUNTIF(Recipes!$B$3:$B$207,A49)</f>
        <v>1</v>
      </c>
      <c r="J49" s="8" t="n">
        <f aca="false">COUNTIF(Recipes!$E$3:$E$207,A49)+COUNTIF(Recipes!$G$3:$G$207,A49)</f>
        <v>3</v>
      </c>
      <c r="K49" s="10" t="str">
        <f aca="false">IF(COUNTIFS(Recipes!$B$3:$B$207,A49,Recipes!$I$3:$I$207,"&lt;&gt;simple")&gt;0,"YES","")</f>
        <v/>
      </c>
      <c r="L49" s="11" t="s">
        <v>130</v>
      </c>
    </row>
    <row r="50" customFormat="false" ht="15" hidden="false" customHeight="true" outlineLevel="0" collapsed="false">
      <c r="A50" s="3" t="s">
        <v>173</v>
      </c>
      <c r="B50" s="7" t="s">
        <v>174</v>
      </c>
      <c r="C50" s="5" t="n">
        <v>2</v>
      </c>
      <c r="D50" s="3"/>
      <c r="E50" s="7" t="s">
        <v>175</v>
      </c>
      <c r="F50" s="5" t="n">
        <v>145</v>
      </c>
      <c r="G50" s="8" t="n">
        <f aca="false">VLOOKUP(C50,Tier_Constants!$A$3:$E$8,2,FALSE())</f>
        <v>12</v>
      </c>
      <c r="H50" s="9" t="n">
        <f aca="false">VLOOKUP(C50,Tier_Constants!$A$3:$E$8,3,FALSE())</f>
        <v>11.2</v>
      </c>
      <c r="I50" s="8" t="n">
        <f aca="false">COUNTIF(Recipes!$B$3:$B$207,A50)</f>
        <v>1</v>
      </c>
      <c r="J50" s="8" t="n">
        <f aca="false">COUNTIF(Recipes!$E$3:$E$207,A50)+COUNTIF(Recipes!$G$3:$G$207,A50)</f>
        <v>2</v>
      </c>
      <c r="K50" s="10" t="str">
        <f aca="false">IF(COUNTIFS(Recipes!$B$3:$B$207,A50,Recipes!$I$3:$I$207,"&lt;&gt;simple")&gt;0,"YES","")</f>
        <v/>
      </c>
      <c r="L50" s="11" t="s">
        <v>134</v>
      </c>
    </row>
    <row r="51" customFormat="false" ht="15" hidden="false" customHeight="true" outlineLevel="0" collapsed="false">
      <c r="A51" s="3" t="s">
        <v>176</v>
      </c>
      <c r="B51" s="7" t="s">
        <v>177</v>
      </c>
      <c r="C51" s="5" t="n">
        <v>2</v>
      </c>
      <c r="D51" s="3"/>
      <c r="E51" s="7" t="s">
        <v>178</v>
      </c>
      <c r="F51" s="5" t="n">
        <v>120</v>
      </c>
      <c r="G51" s="8" t="n">
        <f aca="false">VLOOKUP(C51,Tier_Constants!$A$3:$E$8,2,FALSE())</f>
        <v>12</v>
      </c>
      <c r="H51" s="9" t="n">
        <f aca="false">VLOOKUP(C51,Tier_Constants!$A$3:$E$8,3,FALSE())</f>
        <v>11.2</v>
      </c>
      <c r="I51" s="8" t="n">
        <f aca="false">COUNTIF(Recipes!$B$3:$B$207,A51)</f>
        <v>2</v>
      </c>
      <c r="J51" s="8" t="n">
        <f aca="false">COUNTIF(Recipes!$E$3:$E$207,A51)+COUNTIF(Recipes!$G$3:$G$207,A51)</f>
        <v>2</v>
      </c>
      <c r="K51" s="10" t="str">
        <f aca="false">IF(COUNTIFS(Recipes!$B$3:$B$207,A51,Recipes!$I$3:$I$207,"&lt;&gt;simple")&gt;0,"YES","")</f>
        <v/>
      </c>
      <c r="L51" s="11" t="s">
        <v>138</v>
      </c>
    </row>
    <row r="52" customFormat="false" ht="15" hidden="false" customHeight="true" outlineLevel="0" collapsed="false">
      <c r="A52" s="3" t="s">
        <v>179</v>
      </c>
      <c r="B52" s="7" t="s">
        <v>180</v>
      </c>
      <c r="C52" s="5" t="n">
        <v>2</v>
      </c>
      <c r="D52" s="3"/>
      <c r="E52" s="7" t="s">
        <v>181</v>
      </c>
      <c r="F52" s="5" t="n">
        <v>105</v>
      </c>
      <c r="G52" s="8" t="n">
        <f aca="false">VLOOKUP(C52,Tier_Constants!$A$3:$E$8,2,FALSE())</f>
        <v>12</v>
      </c>
      <c r="H52" s="9" t="n">
        <f aca="false">VLOOKUP(C52,Tier_Constants!$A$3:$E$8,3,FALSE())</f>
        <v>11.2</v>
      </c>
      <c r="I52" s="8" t="n">
        <f aca="false">COUNTIF(Recipes!$B$3:$B$207,A52)</f>
        <v>1</v>
      </c>
      <c r="J52" s="8" t="n">
        <f aca="false">COUNTIF(Recipes!$E$3:$E$207,A52)+COUNTIF(Recipes!$G$3:$G$207,A52)</f>
        <v>3</v>
      </c>
      <c r="K52" s="10" t="str">
        <f aca="false">IF(COUNTIFS(Recipes!$B$3:$B$207,A52,Recipes!$I$3:$I$207,"&lt;&gt;simple")&gt;0,"YES","")</f>
        <v/>
      </c>
      <c r="L52" s="11" t="s">
        <v>141</v>
      </c>
    </row>
    <row r="53" customFormat="false" ht="26.25" hidden="false" customHeight="true" outlineLevel="0" collapsed="false">
      <c r="A53" s="3" t="s">
        <v>182</v>
      </c>
      <c r="B53" s="7" t="s">
        <v>183</v>
      </c>
      <c r="C53" s="5" t="n">
        <v>2</v>
      </c>
      <c r="D53" s="3"/>
      <c r="E53" s="7" t="s">
        <v>184</v>
      </c>
      <c r="F53" s="5" t="n">
        <v>150</v>
      </c>
      <c r="G53" s="8" t="n">
        <f aca="false">VLOOKUP(C53,Tier_Constants!$A$3:$E$8,2,FALSE())</f>
        <v>12</v>
      </c>
      <c r="H53" s="9" t="n">
        <f aca="false">VLOOKUP(C53,Tier_Constants!$A$3:$E$8,3,FALSE())</f>
        <v>11.2</v>
      </c>
      <c r="I53" s="8" t="n">
        <f aca="false">COUNTIF(Recipes!$B$3:$B$207,A53)</f>
        <v>1</v>
      </c>
      <c r="J53" s="8" t="n">
        <f aca="false">COUNTIF(Recipes!$E$3:$E$207,A53)+COUNTIF(Recipes!$G$3:$G$207,A53)</f>
        <v>8</v>
      </c>
      <c r="K53" s="10" t="str">
        <f aca="false">IF(COUNTIFS(Recipes!$B$3:$B$207,A53,Recipes!$I$3:$I$207,"&lt;&gt;simple")&gt;0,"YES","")</f>
        <v/>
      </c>
      <c r="L53" s="11" t="s">
        <v>127</v>
      </c>
    </row>
    <row r="54" customFormat="false" ht="26.25" hidden="false" customHeight="true" outlineLevel="0" collapsed="false">
      <c r="A54" s="3" t="s">
        <v>185</v>
      </c>
      <c r="B54" s="7" t="s">
        <v>186</v>
      </c>
      <c r="C54" s="5" t="n">
        <v>2</v>
      </c>
      <c r="D54" s="3"/>
      <c r="E54" s="7" t="s">
        <v>187</v>
      </c>
      <c r="F54" s="5" t="n">
        <v>135</v>
      </c>
      <c r="G54" s="8" t="n">
        <f aca="false">VLOOKUP(C54,Tier_Constants!$A$3:$E$8,2,FALSE())</f>
        <v>12</v>
      </c>
      <c r="H54" s="9" t="n">
        <f aca="false">VLOOKUP(C54,Tier_Constants!$A$3:$E$8,3,FALSE())</f>
        <v>11.2</v>
      </c>
      <c r="I54" s="8" t="n">
        <f aca="false">COUNTIF(Recipes!$B$3:$B$207,A54)</f>
        <v>1</v>
      </c>
      <c r="J54" s="8" t="n">
        <f aca="false">COUNTIF(Recipes!$E$3:$E$207,A54)+COUNTIF(Recipes!$G$3:$G$207,A54)</f>
        <v>2</v>
      </c>
      <c r="K54" s="10" t="str">
        <f aca="false">IF(COUNTIFS(Recipes!$B$3:$B$207,A54,Recipes!$I$3:$I$207,"&lt;&gt;simple")&gt;0,"YES","")</f>
        <v/>
      </c>
      <c r="L54" s="11" t="s">
        <v>130</v>
      </c>
    </row>
    <row r="55" customFormat="false" ht="15" hidden="false" customHeight="true" outlineLevel="0" collapsed="false">
      <c r="A55" s="3" t="s">
        <v>188</v>
      </c>
      <c r="B55" s="7" t="s">
        <v>189</v>
      </c>
      <c r="C55" s="5" t="n">
        <v>2</v>
      </c>
      <c r="D55" s="3"/>
      <c r="E55" s="7" t="s">
        <v>190</v>
      </c>
      <c r="F55" s="5" t="n">
        <v>110</v>
      </c>
      <c r="G55" s="8" t="n">
        <f aca="false">VLOOKUP(C55,Tier_Constants!$A$3:$E$8,2,FALSE())</f>
        <v>12</v>
      </c>
      <c r="H55" s="9" t="n">
        <f aca="false">VLOOKUP(C55,Tier_Constants!$A$3:$E$8,3,FALSE())</f>
        <v>11.2</v>
      </c>
      <c r="I55" s="8" t="n">
        <f aca="false">COUNTIF(Recipes!$B$3:$B$207,A55)</f>
        <v>1</v>
      </c>
      <c r="J55" s="8" t="n">
        <f aca="false">COUNTIF(Recipes!$E$3:$E$207,A55)+COUNTIF(Recipes!$G$3:$G$207,A55)</f>
        <v>6</v>
      </c>
      <c r="K55" s="10" t="str">
        <f aca="false">IF(COUNTIFS(Recipes!$B$3:$B$207,A55,Recipes!$I$3:$I$207,"&lt;&gt;simple")&gt;0,"YES","")</f>
        <v/>
      </c>
      <c r="L55" s="11" t="s">
        <v>134</v>
      </c>
    </row>
    <row r="56" customFormat="false" ht="15" hidden="false" customHeight="true" outlineLevel="0" collapsed="false">
      <c r="A56" s="3" t="s">
        <v>191</v>
      </c>
      <c r="B56" s="7" t="s">
        <v>192</v>
      </c>
      <c r="C56" s="5" t="n">
        <v>2</v>
      </c>
      <c r="D56" s="3"/>
      <c r="E56" s="7" t="s">
        <v>193</v>
      </c>
      <c r="F56" s="5" t="n">
        <v>105</v>
      </c>
      <c r="G56" s="8" t="n">
        <f aca="false">VLOOKUP(C56,Tier_Constants!$A$3:$E$8,2,FALSE())</f>
        <v>12</v>
      </c>
      <c r="H56" s="9" t="n">
        <f aca="false">VLOOKUP(C56,Tier_Constants!$A$3:$E$8,3,FALSE())</f>
        <v>11.2</v>
      </c>
      <c r="I56" s="8" t="n">
        <f aca="false">COUNTIF(Recipes!$B$3:$B$207,A56)</f>
        <v>1</v>
      </c>
      <c r="J56" s="8" t="n">
        <f aca="false">COUNTIF(Recipes!$E$3:$E$207,A56)+COUNTIF(Recipes!$G$3:$G$207,A56)</f>
        <v>2</v>
      </c>
      <c r="K56" s="10" t="str">
        <f aca="false">IF(COUNTIFS(Recipes!$B$3:$B$207,A56,Recipes!$I$3:$I$207,"&lt;&gt;simple")&gt;0,"YES","")</f>
        <v/>
      </c>
      <c r="L56" s="11" t="s">
        <v>138</v>
      </c>
    </row>
    <row r="57" customFormat="false" ht="15" hidden="false" customHeight="true" outlineLevel="0" collapsed="false">
      <c r="A57" s="3" t="s">
        <v>194</v>
      </c>
      <c r="B57" s="7" t="s">
        <v>195</v>
      </c>
      <c r="C57" s="5" t="n">
        <v>2</v>
      </c>
      <c r="D57" s="3"/>
      <c r="E57" s="7" t="s">
        <v>196</v>
      </c>
      <c r="F57" s="5" t="n">
        <v>125</v>
      </c>
      <c r="G57" s="8" t="n">
        <f aca="false">VLOOKUP(C57,Tier_Constants!$A$3:$E$8,2,FALSE())</f>
        <v>12</v>
      </c>
      <c r="H57" s="9" t="n">
        <f aca="false">VLOOKUP(C57,Tier_Constants!$A$3:$E$8,3,FALSE())</f>
        <v>11.2</v>
      </c>
      <c r="I57" s="8" t="n">
        <f aca="false">COUNTIF(Recipes!$B$3:$B$207,A57)</f>
        <v>2</v>
      </c>
      <c r="J57" s="8" t="n">
        <f aca="false">COUNTIF(Recipes!$E$3:$E$207,A57)+COUNTIF(Recipes!$G$3:$G$207,A57)</f>
        <v>10</v>
      </c>
      <c r="K57" s="10" t="str">
        <f aca="false">IF(COUNTIFS(Recipes!$B$3:$B$207,A57,Recipes!$I$3:$I$207,"&lt;&gt;simple")&gt;0,"YES","")</f>
        <v/>
      </c>
      <c r="L57" s="11" t="s">
        <v>141</v>
      </c>
    </row>
    <row r="58" customFormat="false" ht="26.25" hidden="false" customHeight="true" outlineLevel="0" collapsed="false">
      <c r="A58" s="3" t="s">
        <v>197</v>
      </c>
      <c r="B58" s="7" t="s">
        <v>198</v>
      </c>
      <c r="C58" s="5" t="n">
        <v>2</v>
      </c>
      <c r="D58" s="3"/>
      <c r="E58" s="7" t="s">
        <v>199</v>
      </c>
      <c r="F58" s="5" t="n">
        <v>90</v>
      </c>
      <c r="G58" s="8" t="n">
        <f aca="false">VLOOKUP(C58,Tier_Constants!$A$3:$E$8,2,FALSE())</f>
        <v>12</v>
      </c>
      <c r="H58" s="9" t="n">
        <f aca="false">VLOOKUP(C58,Tier_Constants!$A$3:$E$8,3,FALSE())</f>
        <v>11.2</v>
      </c>
      <c r="I58" s="8" t="n">
        <f aca="false">COUNTIF(Recipes!$B$3:$B$207,A58)</f>
        <v>2</v>
      </c>
      <c r="J58" s="8" t="n">
        <f aca="false">COUNTIF(Recipes!$E$3:$E$207,A58)+COUNTIF(Recipes!$G$3:$G$207,A58)</f>
        <v>2</v>
      </c>
      <c r="K58" s="10" t="str">
        <f aca="false">IF(COUNTIFS(Recipes!$B$3:$B$207,A58,Recipes!$I$3:$I$207,"&lt;&gt;simple")&gt;0,"YES","")</f>
        <v/>
      </c>
      <c r="L58" s="11" t="s">
        <v>127</v>
      </c>
    </row>
    <row r="59" customFormat="false" ht="26.25" hidden="false" customHeight="true" outlineLevel="0" collapsed="false">
      <c r="A59" s="3" t="s">
        <v>200</v>
      </c>
      <c r="B59" s="7" t="s">
        <v>201</v>
      </c>
      <c r="C59" s="5" t="n">
        <v>2</v>
      </c>
      <c r="D59" s="3"/>
      <c r="E59" s="7" t="s">
        <v>94</v>
      </c>
      <c r="F59" s="5" t="n">
        <v>130</v>
      </c>
      <c r="G59" s="8" t="n">
        <f aca="false">VLOOKUP(C59,Tier_Constants!$A$3:$E$8,2,FALSE())</f>
        <v>12</v>
      </c>
      <c r="H59" s="9" t="n">
        <f aca="false">VLOOKUP(C59,Tier_Constants!$A$3:$E$8,3,FALSE())</f>
        <v>11.2</v>
      </c>
      <c r="I59" s="8" t="n">
        <f aca="false">COUNTIF(Recipes!$B$3:$B$207,A59)</f>
        <v>1</v>
      </c>
      <c r="J59" s="8" t="n">
        <f aca="false">COUNTIF(Recipes!$E$3:$E$207,A59)+COUNTIF(Recipes!$G$3:$G$207,A59)</f>
        <v>2</v>
      </c>
      <c r="K59" s="10" t="str">
        <f aca="false">IF(COUNTIFS(Recipes!$B$3:$B$207,A59,Recipes!$I$3:$I$207,"&lt;&gt;simple")&gt;0,"YES","")</f>
        <v/>
      </c>
      <c r="L59" s="11" t="s">
        <v>130</v>
      </c>
    </row>
    <row r="60" customFormat="false" ht="15" hidden="false" customHeight="true" outlineLevel="0" collapsed="false">
      <c r="A60" s="3" t="s">
        <v>202</v>
      </c>
      <c r="B60" s="7" t="s">
        <v>203</v>
      </c>
      <c r="C60" s="5" t="n">
        <v>2</v>
      </c>
      <c r="D60" s="3"/>
      <c r="E60" s="7" t="s">
        <v>85</v>
      </c>
      <c r="F60" s="5" t="n">
        <v>140</v>
      </c>
      <c r="G60" s="8" t="n">
        <f aca="false">VLOOKUP(C60,Tier_Constants!$A$3:$E$8,2,FALSE())</f>
        <v>12</v>
      </c>
      <c r="H60" s="9" t="n">
        <f aca="false">VLOOKUP(C60,Tier_Constants!$A$3:$E$8,3,FALSE())</f>
        <v>11.2</v>
      </c>
      <c r="I60" s="8" t="n">
        <f aca="false">COUNTIF(Recipes!$B$3:$B$207,A60)</f>
        <v>2</v>
      </c>
      <c r="J60" s="8" t="n">
        <f aca="false">COUNTIF(Recipes!$E$3:$E$207,A60)+COUNTIF(Recipes!$G$3:$G$207,A60)</f>
        <v>2</v>
      </c>
      <c r="K60" s="10" t="str">
        <f aca="false">IF(COUNTIFS(Recipes!$B$3:$B$207,A60,Recipes!$I$3:$I$207,"&lt;&gt;simple")&gt;0,"YES","")</f>
        <v/>
      </c>
      <c r="L60" s="11" t="s">
        <v>134</v>
      </c>
    </row>
    <row r="61" customFormat="false" ht="15" hidden="false" customHeight="true" outlineLevel="0" collapsed="false">
      <c r="A61" s="3" t="s">
        <v>204</v>
      </c>
      <c r="B61" s="7" t="s">
        <v>205</v>
      </c>
      <c r="C61" s="5" t="n">
        <v>2</v>
      </c>
      <c r="D61" s="3"/>
      <c r="E61" s="7" t="s">
        <v>206</v>
      </c>
      <c r="F61" s="5" t="n">
        <v>140</v>
      </c>
      <c r="G61" s="8" t="n">
        <f aca="false">VLOOKUP(C61,Tier_Constants!$A$3:$E$8,2,FALSE())</f>
        <v>12</v>
      </c>
      <c r="H61" s="9" t="n">
        <f aca="false">VLOOKUP(C61,Tier_Constants!$A$3:$E$8,3,FALSE())</f>
        <v>11.2</v>
      </c>
      <c r="I61" s="8" t="n">
        <f aca="false">COUNTIF(Recipes!$B$3:$B$207,A61)</f>
        <v>1</v>
      </c>
      <c r="J61" s="8" t="n">
        <f aca="false">COUNTIF(Recipes!$E$3:$E$207,A61)+COUNTIF(Recipes!$G$3:$G$207,A61)</f>
        <v>2</v>
      </c>
      <c r="K61" s="10" t="str">
        <f aca="false">IF(COUNTIFS(Recipes!$B$3:$B$207,A61,Recipes!$I$3:$I$207,"&lt;&gt;simple")&gt;0,"YES","")</f>
        <v/>
      </c>
      <c r="L61" s="11" t="s">
        <v>138</v>
      </c>
    </row>
    <row r="62" customFormat="false" ht="15" hidden="false" customHeight="true" outlineLevel="0" collapsed="false">
      <c r="A62" s="3" t="s">
        <v>207</v>
      </c>
      <c r="B62" s="7" t="s">
        <v>208</v>
      </c>
      <c r="C62" s="5" t="n">
        <v>2</v>
      </c>
      <c r="D62" s="3"/>
      <c r="E62" s="7" t="s">
        <v>209</v>
      </c>
      <c r="F62" s="5" t="n">
        <v>145</v>
      </c>
      <c r="G62" s="8" t="n">
        <f aca="false">VLOOKUP(C62,Tier_Constants!$A$3:$E$8,2,FALSE())</f>
        <v>12</v>
      </c>
      <c r="H62" s="9" t="n">
        <f aca="false">VLOOKUP(C62,Tier_Constants!$A$3:$E$8,3,FALSE())</f>
        <v>11.2</v>
      </c>
      <c r="I62" s="8" t="n">
        <f aca="false">COUNTIF(Recipes!$B$3:$B$207,A62)</f>
        <v>1</v>
      </c>
      <c r="J62" s="8" t="n">
        <f aca="false">COUNTIF(Recipes!$E$3:$E$207,A62)+COUNTIF(Recipes!$G$3:$G$207,A62)</f>
        <v>3</v>
      </c>
      <c r="K62" s="10" t="str">
        <f aca="false">IF(COUNTIFS(Recipes!$B$3:$B$207,A62,Recipes!$I$3:$I$207,"&lt;&gt;simple")&gt;0,"YES","")</f>
        <v/>
      </c>
      <c r="L62" s="11" t="s">
        <v>141</v>
      </c>
    </row>
    <row r="63" customFormat="false" ht="26.25" hidden="false" customHeight="true" outlineLevel="0" collapsed="false">
      <c r="A63" s="3" t="s">
        <v>210</v>
      </c>
      <c r="B63" s="7" t="s">
        <v>211</v>
      </c>
      <c r="C63" s="5" t="n">
        <v>3</v>
      </c>
      <c r="D63" s="3"/>
      <c r="E63" s="7" t="s">
        <v>212</v>
      </c>
      <c r="F63" s="5" t="n">
        <v>660</v>
      </c>
      <c r="G63" s="8" t="n">
        <f aca="false">VLOOKUP(C63,Tier_Constants!$A$3:$E$8,2,FALSE())</f>
        <v>45</v>
      </c>
      <c r="H63" s="9" t="n">
        <f aca="false">VLOOKUP(C63,Tier_Constants!$A$3:$E$8,3,FALSE())</f>
        <v>15.7</v>
      </c>
      <c r="I63" s="8" t="n">
        <f aca="false">COUNTIF(Recipes!$B$3:$B$207,A63)</f>
        <v>2</v>
      </c>
      <c r="J63" s="8" t="n">
        <f aca="false">COUNTIF(Recipes!$E$3:$E$207,A63)+COUNTIF(Recipes!$G$3:$G$207,A63)</f>
        <v>3</v>
      </c>
      <c r="K63" s="10" t="str">
        <f aca="false">IF(COUNTIFS(Recipes!$B$3:$B$207,A63,Recipes!$I$3:$I$207,"&lt;&gt;simple")&gt;0,"YES","")</f>
        <v/>
      </c>
      <c r="L63" s="11" t="s">
        <v>213</v>
      </c>
    </row>
    <row r="64" customFormat="false" ht="26.25" hidden="false" customHeight="true" outlineLevel="0" collapsed="false">
      <c r="A64" s="3" t="s">
        <v>214</v>
      </c>
      <c r="B64" s="7" t="s">
        <v>215</v>
      </c>
      <c r="C64" s="5" t="n">
        <v>3</v>
      </c>
      <c r="D64" s="3"/>
      <c r="E64" s="7" t="s">
        <v>216</v>
      </c>
      <c r="F64" s="5" t="n">
        <v>560</v>
      </c>
      <c r="G64" s="8" t="n">
        <f aca="false">VLOOKUP(C64,Tier_Constants!$A$3:$E$8,2,FALSE())</f>
        <v>45</v>
      </c>
      <c r="H64" s="9" t="n">
        <f aca="false">VLOOKUP(C64,Tier_Constants!$A$3:$E$8,3,FALSE())</f>
        <v>15.7</v>
      </c>
      <c r="I64" s="8" t="n">
        <f aca="false">COUNTIF(Recipes!$B$3:$B$207,A64)</f>
        <v>2</v>
      </c>
      <c r="J64" s="8" t="n">
        <f aca="false">COUNTIF(Recipes!$E$3:$E$207,A64)+COUNTIF(Recipes!$G$3:$G$207,A64)</f>
        <v>3</v>
      </c>
      <c r="K64" s="10" t="str">
        <f aca="false">IF(COUNTIFS(Recipes!$B$3:$B$207,A64,Recipes!$I$3:$I$207,"&lt;&gt;simple")&gt;0,"YES","")</f>
        <v/>
      </c>
      <c r="L64" s="11" t="s">
        <v>217</v>
      </c>
    </row>
    <row r="65" customFormat="false" ht="15" hidden="false" customHeight="true" outlineLevel="0" collapsed="false">
      <c r="A65" s="3" t="s">
        <v>218</v>
      </c>
      <c r="B65" s="7" t="s">
        <v>219</v>
      </c>
      <c r="C65" s="5" t="n">
        <v>3</v>
      </c>
      <c r="D65" s="3"/>
      <c r="E65" s="7" t="s">
        <v>220</v>
      </c>
      <c r="F65" s="5" t="n">
        <v>630</v>
      </c>
      <c r="G65" s="8" t="n">
        <f aca="false">VLOOKUP(C65,Tier_Constants!$A$3:$E$8,2,FALSE())</f>
        <v>45</v>
      </c>
      <c r="H65" s="9" t="n">
        <f aca="false">VLOOKUP(C65,Tier_Constants!$A$3:$E$8,3,FALSE())</f>
        <v>15.7</v>
      </c>
      <c r="I65" s="8" t="n">
        <f aca="false">COUNTIF(Recipes!$B$3:$B$207,A65)</f>
        <v>2</v>
      </c>
      <c r="J65" s="8" t="n">
        <f aca="false">COUNTIF(Recipes!$E$3:$E$207,A65)+COUNTIF(Recipes!$G$3:$G$207,A65)</f>
        <v>3</v>
      </c>
      <c r="K65" s="10" t="str">
        <f aca="false">IF(COUNTIFS(Recipes!$B$3:$B$207,A65,Recipes!$I$3:$I$207,"&lt;&gt;simple")&gt;0,"YES","")</f>
        <v/>
      </c>
      <c r="L65" s="11" t="s">
        <v>221</v>
      </c>
    </row>
    <row r="66" customFormat="false" ht="15" hidden="false" customHeight="true" outlineLevel="0" collapsed="false">
      <c r="A66" s="3" t="s">
        <v>222</v>
      </c>
      <c r="B66" s="7" t="s">
        <v>223</v>
      </c>
      <c r="C66" s="5" t="n">
        <v>3</v>
      </c>
      <c r="D66" s="3"/>
      <c r="E66" s="7" t="s">
        <v>224</v>
      </c>
      <c r="F66" s="5" t="n">
        <v>410</v>
      </c>
      <c r="G66" s="8" t="n">
        <f aca="false">VLOOKUP(C66,Tier_Constants!$A$3:$E$8,2,FALSE())</f>
        <v>45</v>
      </c>
      <c r="H66" s="9" t="n">
        <f aca="false">VLOOKUP(C66,Tier_Constants!$A$3:$E$8,3,FALSE())</f>
        <v>15.7</v>
      </c>
      <c r="I66" s="8" t="n">
        <f aca="false">COUNTIF(Recipes!$B$3:$B$207,A66)</f>
        <v>2</v>
      </c>
      <c r="J66" s="8" t="n">
        <f aca="false">COUNTIF(Recipes!$E$3:$E$207,A66)+COUNTIF(Recipes!$G$3:$G$207,A66)</f>
        <v>3</v>
      </c>
      <c r="K66" s="10" t="str">
        <f aca="false">IF(COUNTIFS(Recipes!$B$3:$B$207,A66,Recipes!$I$3:$I$207,"&lt;&gt;simple")&gt;0,"YES","")</f>
        <v/>
      </c>
      <c r="L66" s="11" t="s">
        <v>225</v>
      </c>
    </row>
    <row r="67" customFormat="false" ht="15" hidden="false" customHeight="true" outlineLevel="0" collapsed="false">
      <c r="A67" s="3" t="s">
        <v>226</v>
      </c>
      <c r="B67" s="7" t="s">
        <v>227</v>
      </c>
      <c r="C67" s="5" t="n">
        <v>3</v>
      </c>
      <c r="D67" s="3"/>
      <c r="E67" s="7" t="s">
        <v>228</v>
      </c>
      <c r="F67" s="5" t="n">
        <v>580</v>
      </c>
      <c r="G67" s="8" t="n">
        <f aca="false">VLOOKUP(C67,Tier_Constants!$A$3:$E$8,2,FALSE())</f>
        <v>45</v>
      </c>
      <c r="H67" s="9" t="n">
        <f aca="false">VLOOKUP(C67,Tier_Constants!$A$3:$E$8,3,FALSE())</f>
        <v>15.7</v>
      </c>
      <c r="I67" s="8" t="n">
        <f aca="false">COUNTIF(Recipes!$B$3:$B$207,A67)</f>
        <v>5</v>
      </c>
      <c r="J67" s="8" t="n">
        <f aca="false">COUNTIF(Recipes!$E$3:$E$207,A67)+COUNTIF(Recipes!$G$3:$G$207,A67)</f>
        <v>3</v>
      </c>
      <c r="K67" s="10" t="str">
        <f aca="false">IF(COUNTIFS(Recipes!$B$3:$B$207,A67,Recipes!$I$3:$I$207,"&lt;&gt;simple")&gt;0,"YES","")</f>
        <v>YES</v>
      </c>
      <c r="L67" s="11" t="s">
        <v>229</v>
      </c>
    </row>
    <row r="68" customFormat="false" ht="26.25" hidden="false" customHeight="true" outlineLevel="0" collapsed="false">
      <c r="A68" s="3" t="s">
        <v>230</v>
      </c>
      <c r="B68" s="7" t="s">
        <v>231</v>
      </c>
      <c r="C68" s="5" t="n">
        <v>3</v>
      </c>
      <c r="D68" s="3"/>
      <c r="E68" s="7" t="s">
        <v>91</v>
      </c>
      <c r="F68" s="5" t="n">
        <v>400</v>
      </c>
      <c r="G68" s="8" t="n">
        <f aca="false">VLOOKUP(C68,Tier_Constants!$A$3:$E$8,2,FALSE())</f>
        <v>45</v>
      </c>
      <c r="H68" s="9" t="n">
        <f aca="false">VLOOKUP(C68,Tier_Constants!$A$3:$E$8,3,FALSE())</f>
        <v>15.7</v>
      </c>
      <c r="I68" s="8" t="n">
        <f aca="false">COUNTIF(Recipes!$B$3:$B$207,A68)</f>
        <v>5</v>
      </c>
      <c r="J68" s="8" t="n">
        <f aca="false">COUNTIF(Recipes!$E$3:$E$207,A68)+COUNTIF(Recipes!$G$3:$G$207,A68)</f>
        <v>3</v>
      </c>
      <c r="K68" s="10" t="str">
        <f aca="false">IF(COUNTIFS(Recipes!$B$3:$B$207,A68,Recipes!$I$3:$I$207,"&lt;&gt;simple")&gt;0,"YES","")</f>
        <v>YES</v>
      </c>
      <c r="L68" s="11" t="s">
        <v>213</v>
      </c>
    </row>
    <row r="69" customFormat="false" ht="26.25" hidden="false" customHeight="true" outlineLevel="0" collapsed="false">
      <c r="A69" s="3" t="s">
        <v>232</v>
      </c>
      <c r="B69" s="7" t="s">
        <v>233</v>
      </c>
      <c r="C69" s="5" t="n">
        <v>3</v>
      </c>
      <c r="D69" s="3"/>
      <c r="E69" s="7" t="s">
        <v>234</v>
      </c>
      <c r="F69" s="5" t="n">
        <v>640</v>
      </c>
      <c r="G69" s="8" t="n">
        <f aca="false">VLOOKUP(C69,Tier_Constants!$A$3:$E$8,2,FALSE())</f>
        <v>45</v>
      </c>
      <c r="H69" s="9" t="n">
        <f aca="false">VLOOKUP(C69,Tier_Constants!$A$3:$E$8,3,FALSE())</f>
        <v>15.7</v>
      </c>
      <c r="I69" s="8" t="n">
        <f aca="false">COUNTIF(Recipes!$B$3:$B$207,A69)</f>
        <v>2</v>
      </c>
      <c r="J69" s="8" t="n">
        <f aca="false">COUNTIF(Recipes!$E$3:$E$207,A69)+COUNTIF(Recipes!$G$3:$G$207,A69)</f>
        <v>3</v>
      </c>
      <c r="K69" s="10" t="str">
        <f aca="false">IF(COUNTIFS(Recipes!$B$3:$B$207,A69,Recipes!$I$3:$I$207,"&lt;&gt;simple")&gt;0,"YES","")</f>
        <v/>
      </c>
      <c r="L69" s="11" t="s">
        <v>217</v>
      </c>
    </row>
    <row r="70" customFormat="false" ht="15" hidden="false" customHeight="true" outlineLevel="0" collapsed="false">
      <c r="A70" s="3" t="s">
        <v>235</v>
      </c>
      <c r="B70" s="7" t="s">
        <v>236</v>
      </c>
      <c r="C70" s="5" t="n">
        <v>3</v>
      </c>
      <c r="D70" s="3"/>
      <c r="E70" s="7" t="s">
        <v>237</v>
      </c>
      <c r="F70" s="5" t="n">
        <v>490</v>
      </c>
      <c r="G70" s="8" t="n">
        <f aca="false">VLOOKUP(C70,Tier_Constants!$A$3:$E$8,2,FALSE())</f>
        <v>45</v>
      </c>
      <c r="H70" s="9" t="n">
        <f aca="false">VLOOKUP(C70,Tier_Constants!$A$3:$E$8,3,FALSE())</f>
        <v>15.7</v>
      </c>
      <c r="I70" s="8" t="n">
        <f aca="false">COUNTIF(Recipes!$B$3:$B$207,A70)</f>
        <v>2</v>
      </c>
      <c r="J70" s="8" t="n">
        <f aca="false">COUNTIF(Recipes!$E$3:$E$207,A70)+COUNTIF(Recipes!$G$3:$G$207,A70)</f>
        <v>3</v>
      </c>
      <c r="K70" s="10" t="str">
        <f aca="false">IF(COUNTIFS(Recipes!$B$3:$B$207,A70,Recipes!$I$3:$I$207,"&lt;&gt;simple")&gt;0,"YES","")</f>
        <v/>
      </c>
      <c r="L70" s="11" t="s">
        <v>221</v>
      </c>
    </row>
    <row r="71" customFormat="false" ht="15" hidden="false" customHeight="true" outlineLevel="0" collapsed="false">
      <c r="A71" s="3" t="s">
        <v>238</v>
      </c>
      <c r="B71" s="7" t="s">
        <v>239</v>
      </c>
      <c r="C71" s="5" t="n">
        <v>3</v>
      </c>
      <c r="D71" s="3"/>
      <c r="E71" s="7" t="s">
        <v>240</v>
      </c>
      <c r="F71" s="5" t="n">
        <v>590</v>
      </c>
      <c r="G71" s="8" t="n">
        <f aca="false">VLOOKUP(C71,Tier_Constants!$A$3:$E$8,2,FALSE())</f>
        <v>45</v>
      </c>
      <c r="H71" s="9" t="n">
        <f aca="false">VLOOKUP(C71,Tier_Constants!$A$3:$E$8,3,FALSE())</f>
        <v>15.7</v>
      </c>
      <c r="I71" s="8" t="n">
        <f aca="false">COUNTIF(Recipes!$B$3:$B$207,A71)</f>
        <v>1</v>
      </c>
      <c r="J71" s="8" t="n">
        <f aca="false">COUNTIF(Recipes!$E$3:$E$207,A71)+COUNTIF(Recipes!$G$3:$G$207,A71)</f>
        <v>3</v>
      </c>
      <c r="K71" s="10" t="str">
        <f aca="false">IF(COUNTIFS(Recipes!$B$3:$B$207,A71,Recipes!$I$3:$I$207,"&lt;&gt;simple")&gt;0,"YES","")</f>
        <v/>
      </c>
      <c r="L71" s="11" t="s">
        <v>225</v>
      </c>
    </row>
    <row r="72" customFormat="false" ht="15" hidden="false" customHeight="true" outlineLevel="0" collapsed="false">
      <c r="A72" s="3" t="s">
        <v>241</v>
      </c>
      <c r="B72" s="7" t="s">
        <v>242</v>
      </c>
      <c r="C72" s="5" t="n">
        <v>3</v>
      </c>
      <c r="D72" s="3"/>
      <c r="E72" s="7" t="s">
        <v>209</v>
      </c>
      <c r="F72" s="5" t="n">
        <v>450</v>
      </c>
      <c r="G72" s="8" t="n">
        <f aca="false">VLOOKUP(C72,Tier_Constants!$A$3:$E$8,2,FALSE())</f>
        <v>45</v>
      </c>
      <c r="H72" s="9" t="n">
        <f aca="false">VLOOKUP(C72,Tier_Constants!$A$3:$E$8,3,FALSE())</f>
        <v>15.7</v>
      </c>
      <c r="I72" s="8" t="n">
        <f aca="false">COUNTIF(Recipes!$B$3:$B$207,A72)</f>
        <v>2</v>
      </c>
      <c r="J72" s="8" t="n">
        <f aca="false">COUNTIF(Recipes!$E$3:$E$207,A72)+COUNTIF(Recipes!$G$3:$G$207,A72)</f>
        <v>3</v>
      </c>
      <c r="K72" s="10" t="str">
        <f aca="false">IF(COUNTIFS(Recipes!$B$3:$B$207,A72,Recipes!$I$3:$I$207,"&lt;&gt;simple")&gt;0,"YES","")</f>
        <v>YES</v>
      </c>
      <c r="L72" s="11" t="s">
        <v>229</v>
      </c>
    </row>
    <row r="73" customFormat="false" ht="26.25" hidden="false" customHeight="true" outlineLevel="0" collapsed="false">
      <c r="A73" s="3" t="s">
        <v>243</v>
      </c>
      <c r="B73" s="7" t="s">
        <v>244</v>
      </c>
      <c r="C73" s="5" t="n">
        <v>3</v>
      </c>
      <c r="D73" s="3"/>
      <c r="E73" s="7" t="s">
        <v>245</v>
      </c>
      <c r="F73" s="5" t="n">
        <v>650</v>
      </c>
      <c r="G73" s="8" t="n">
        <f aca="false">VLOOKUP(C73,Tier_Constants!$A$3:$E$8,2,FALSE())</f>
        <v>45</v>
      </c>
      <c r="H73" s="9" t="n">
        <f aca="false">VLOOKUP(C73,Tier_Constants!$A$3:$E$8,3,FALSE())</f>
        <v>15.7</v>
      </c>
      <c r="I73" s="8" t="n">
        <f aca="false">COUNTIF(Recipes!$B$3:$B$207,A73)</f>
        <v>1</v>
      </c>
      <c r="J73" s="8" t="n">
        <f aca="false">COUNTIF(Recipes!$E$3:$E$207,A73)+COUNTIF(Recipes!$G$3:$G$207,A73)</f>
        <v>3</v>
      </c>
      <c r="K73" s="10" t="str">
        <f aca="false">IF(COUNTIFS(Recipes!$B$3:$B$207,A73,Recipes!$I$3:$I$207,"&lt;&gt;simple")&gt;0,"YES","")</f>
        <v/>
      </c>
      <c r="L73" s="11" t="s">
        <v>213</v>
      </c>
    </row>
    <row r="74" customFormat="false" ht="26.25" hidden="false" customHeight="true" outlineLevel="0" collapsed="false">
      <c r="A74" s="3" t="s">
        <v>246</v>
      </c>
      <c r="B74" s="7" t="s">
        <v>247</v>
      </c>
      <c r="C74" s="5" t="n">
        <v>3</v>
      </c>
      <c r="D74" s="3"/>
      <c r="E74" s="7" t="s">
        <v>248</v>
      </c>
      <c r="F74" s="5" t="n">
        <v>430</v>
      </c>
      <c r="G74" s="8" t="n">
        <f aca="false">VLOOKUP(C74,Tier_Constants!$A$3:$E$8,2,FALSE())</f>
        <v>45</v>
      </c>
      <c r="H74" s="9" t="n">
        <f aca="false">VLOOKUP(C74,Tier_Constants!$A$3:$E$8,3,FALSE())</f>
        <v>15.7</v>
      </c>
      <c r="I74" s="8" t="n">
        <f aca="false">COUNTIF(Recipes!$B$3:$B$207,A74)</f>
        <v>1</v>
      </c>
      <c r="J74" s="8" t="n">
        <f aca="false">COUNTIF(Recipes!$E$3:$E$207,A74)+COUNTIF(Recipes!$G$3:$G$207,A74)</f>
        <v>3</v>
      </c>
      <c r="K74" s="10" t="str">
        <f aca="false">IF(COUNTIFS(Recipes!$B$3:$B$207,A74,Recipes!$I$3:$I$207,"&lt;&gt;simple")&gt;0,"YES","")</f>
        <v/>
      </c>
      <c r="L74" s="11" t="s">
        <v>217</v>
      </c>
    </row>
    <row r="75" customFormat="false" ht="15" hidden="false" customHeight="true" outlineLevel="0" collapsed="false">
      <c r="A75" s="3" t="s">
        <v>249</v>
      </c>
      <c r="B75" s="7" t="s">
        <v>250</v>
      </c>
      <c r="C75" s="5" t="n">
        <v>3</v>
      </c>
      <c r="D75" s="3"/>
      <c r="E75" s="7" t="s">
        <v>251</v>
      </c>
      <c r="F75" s="5" t="n">
        <v>500</v>
      </c>
      <c r="G75" s="8" t="n">
        <f aca="false">VLOOKUP(C75,Tier_Constants!$A$3:$E$8,2,FALSE())</f>
        <v>45</v>
      </c>
      <c r="H75" s="9" t="n">
        <f aca="false">VLOOKUP(C75,Tier_Constants!$A$3:$E$8,3,FALSE())</f>
        <v>15.7</v>
      </c>
      <c r="I75" s="8" t="n">
        <f aca="false">COUNTIF(Recipes!$B$3:$B$207,A75)</f>
        <v>1</v>
      </c>
      <c r="J75" s="8" t="n">
        <f aca="false">COUNTIF(Recipes!$E$3:$E$207,A75)+COUNTIF(Recipes!$G$3:$G$207,A75)</f>
        <v>3</v>
      </c>
      <c r="K75" s="10" t="str">
        <f aca="false">IF(COUNTIFS(Recipes!$B$3:$B$207,A75,Recipes!$I$3:$I$207,"&lt;&gt;simple")&gt;0,"YES","")</f>
        <v/>
      </c>
      <c r="L75" s="11" t="s">
        <v>221</v>
      </c>
    </row>
    <row r="76" customFormat="false" ht="15" hidden="false" customHeight="true" outlineLevel="0" collapsed="false">
      <c r="A76" s="3" t="s">
        <v>252</v>
      </c>
      <c r="B76" s="7" t="s">
        <v>253</v>
      </c>
      <c r="C76" s="5" t="n">
        <v>3</v>
      </c>
      <c r="D76" s="3"/>
      <c r="E76" s="7" t="s">
        <v>254</v>
      </c>
      <c r="F76" s="5" t="n">
        <v>700</v>
      </c>
      <c r="G76" s="8" t="n">
        <f aca="false">VLOOKUP(C76,Tier_Constants!$A$3:$E$8,2,FALSE())</f>
        <v>45</v>
      </c>
      <c r="H76" s="9" t="n">
        <f aca="false">VLOOKUP(C76,Tier_Constants!$A$3:$E$8,3,FALSE())</f>
        <v>15.7</v>
      </c>
      <c r="I76" s="8" t="n">
        <f aca="false">COUNTIF(Recipes!$B$3:$B$207,A76)</f>
        <v>1</v>
      </c>
      <c r="J76" s="8" t="n">
        <f aca="false">COUNTIF(Recipes!$E$3:$E$207,A76)+COUNTIF(Recipes!$G$3:$G$207,A76)</f>
        <v>3</v>
      </c>
      <c r="K76" s="10" t="str">
        <f aca="false">IF(COUNTIFS(Recipes!$B$3:$B$207,A76,Recipes!$I$3:$I$207,"&lt;&gt;simple")&gt;0,"YES","")</f>
        <v/>
      </c>
      <c r="L76" s="11" t="s">
        <v>225</v>
      </c>
    </row>
    <row r="77" customFormat="false" ht="15" hidden="false" customHeight="true" outlineLevel="0" collapsed="false">
      <c r="A77" s="3" t="s">
        <v>255</v>
      </c>
      <c r="B77" s="7" t="s">
        <v>256</v>
      </c>
      <c r="C77" s="5" t="n">
        <v>3</v>
      </c>
      <c r="D77" s="3"/>
      <c r="E77" s="7" t="s">
        <v>257</v>
      </c>
      <c r="F77" s="5" t="n">
        <v>440</v>
      </c>
      <c r="G77" s="8" t="n">
        <f aca="false">VLOOKUP(C77,Tier_Constants!$A$3:$E$8,2,FALSE())</f>
        <v>45</v>
      </c>
      <c r="H77" s="9" t="n">
        <f aca="false">VLOOKUP(C77,Tier_Constants!$A$3:$E$8,3,FALSE())</f>
        <v>15.7</v>
      </c>
      <c r="I77" s="8" t="n">
        <f aca="false">COUNTIF(Recipes!$B$3:$B$207,A77)</f>
        <v>1</v>
      </c>
      <c r="J77" s="8" t="n">
        <f aca="false">COUNTIF(Recipes!$E$3:$E$207,A77)+COUNTIF(Recipes!$G$3:$G$207,A77)</f>
        <v>3</v>
      </c>
      <c r="K77" s="10" t="str">
        <f aca="false">IF(COUNTIFS(Recipes!$B$3:$B$207,A77,Recipes!$I$3:$I$207,"&lt;&gt;simple")&gt;0,"YES","")</f>
        <v/>
      </c>
      <c r="L77" s="11" t="s">
        <v>229</v>
      </c>
    </row>
    <row r="78" customFormat="false" ht="26.25" hidden="false" customHeight="true" outlineLevel="0" collapsed="false">
      <c r="A78" s="3" t="s">
        <v>258</v>
      </c>
      <c r="B78" s="7" t="s">
        <v>259</v>
      </c>
      <c r="C78" s="5" t="n">
        <v>3</v>
      </c>
      <c r="D78" s="3"/>
      <c r="E78" s="7" t="s">
        <v>260</v>
      </c>
      <c r="F78" s="5" t="n">
        <v>600</v>
      </c>
      <c r="G78" s="8" t="n">
        <f aca="false">VLOOKUP(C78,Tier_Constants!$A$3:$E$8,2,FALSE())</f>
        <v>45</v>
      </c>
      <c r="H78" s="9" t="n">
        <f aca="false">VLOOKUP(C78,Tier_Constants!$A$3:$E$8,3,FALSE())</f>
        <v>15.7</v>
      </c>
      <c r="I78" s="8" t="n">
        <f aca="false">COUNTIF(Recipes!$B$3:$B$207,A78)</f>
        <v>1</v>
      </c>
      <c r="J78" s="8" t="n">
        <f aca="false">COUNTIF(Recipes!$E$3:$E$207,A78)+COUNTIF(Recipes!$G$3:$G$207,A78)</f>
        <v>3</v>
      </c>
      <c r="K78" s="10" t="str">
        <f aca="false">IF(COUNTIFS(Recipes!$B$3:$B$207,A78,Recipes!$I$3:$I$207,"&lt;&gt;simple")&gt;0,"YES","")</f>
        <v/>
      </c>
      <c r="L78" s="11" t="s">
        <v>213</v>
      </c>
    </row>
    <row r="79" customFormat="false" ht="26.25" hidden="false" customHeight="true" outlineLevel="0" collapsed="false">
      <c r="A79" s="3" t="s">
        <v>261</v>
      </c>
      <c r="B79" s="7" t="s">
        <v>262</v>
      </c>
      <c r="C79" s="5" t="n">
        <v>3</v>
      </c>
      <c r="D79" s="3"/>
      <c r="E79" s="7" t="s">
        <v>263</v>
      </c>
      <c r="F79" s="5" t="n">
        <v>480</v>
      </c>
      <c r="G79" s="8" t="n">
        <f aca="false">VLOOKUP(C79,Tier_Constants!$A$3:$E$8,2,FALSE())</f>
        <v>45</v>
      </c>
      <c r="H79" s="9" t="n">
        <f aca="false">VLOOKUP(C79,Tier_Constants!$A$3:$E$8,3,FALSE())</f>
        <v>15.7</v>
      </c>
      <c r="I79" s="8" t="n">
        <f aca="false">COUNTIF(Recipes!$B$3:$B$207,A79)</f>
        <v>2</v>
      </c>
      <c r="J79" s="8" t="n">
        <f aca="false">COUNTIF(Recipes!$E$3:$E$207,A79)+COUNTIF(Recipes!$G$3:$G$207,A79)</f>
        <v>3</v>
      </c>
      <c r="K79" s="10" t="str">
        <f aca="false">IF(COUNTIFS(Recipes!$B$3:$B$207,A79,Recipes!$I$3:$I$207,"&lt;&gt;simple")&gt;0,"YES","")</f>
        <v>YES</v>
      </c>
      <c r="L79" s="11" t="s">
        <v>217</v>
      </c>
    </row>
    <row r="80" customFormat="false" ht="15" hidden="false" customHeight="true" outlineLevel="0" collapsed="false">
      <c r="A80" s="3" t="s">
        <v>264</v>
      </c>
      <c r="B80" s="7" t="s">
        <v>265</v>
      </c>
      <c r="C80" s="5" t="n">
        <v>3</v>
      </c>
      <c r="D80" s="3"/>
      <c r="E80" s="7" t="s">
        <v>266</v>
      </c>
      <c r="F80" s="5" t="n">
        <v>670</v>
      </c>
      <c r="G80" s="8" t="n">
        <f aca="false">VLOOKUP(C80,Tier_Constants!$A$3:$E$8,2,FALSE())</f>
        <v>45</v>
      </c>
      <c r="H80" s="9" t="n">
        <f aca="false">VLOOKUP(C80,Tier_Constants!$A$3:$E$8,3,FALSE())</f>
        <v>15.7</v>
      </c>
      <c r="I80" s="8" t="n">
        <f aca="false">COUNTIF(Recipes!$B$3:$B$207,A80)</f>
        <v>1</v>
      </c>
      <c r="J80" s="8" t="n">
        <f aca="false">COUNTIF(Recipes!$E$3:$E$207,A80)+COUNTIF(Recipes!$G$3:$G$207,A80)</f>
        <v>3</v>
      </c>
      <c r="K80" s="10" t="str">
        <f aca="false">IF(COUNTIFS(Recipes!$B$3:$B$207,A80,Recipes!$I$3:$I$207,"&lt;&gt;simple")&gt;0,"YES","")</f>
        <v/>
      </c>
      <c r="L80" s="11" t="s">
        <v>221</v>
      </c>
    </row>
    <row r="81" customFormat="false" ht="15" hidden="false" customHeight="true" outlineLevel="0" collapsed="false">
      <c r="A81" s="3" t="s">
        <v>267</v>
      </c>
      <c r="B81" s="7" t="s">
        <v>268</v>
      </c>
      <c r="C81" s="5" t="n">
        <v>3</v>
      </c>
      <c r="D81" s="3"/>
      <c r="E81" s="7" t="s">
        <v>269</v>
      </c>
      <c r="F81" s="5" t="n">
        <v>610</v>
      </c>
      <c r="G81" s="8" t="n">
        <f aca="false">VLOOKUP(C81,Tier_Constants!$A$3:$E$8,2,FALSE())</f>
        <v>45</v>
      </c>
      <c r="H81" s="9" t="n">
        <f aca="false">VLOOKUP(C81,Tier_Constants!$A$3:$E$8,3,FALSE())</f>
        <v>15.7</v>
      </c>
      <c r="I81" s="8" t="n">
        <f aca="false">COUNTIF(Recipes!$B$3:$B$207,A81)</f>
        <v>1</v>
      </c>
      <c r="J81" s="8" t="n">
        <f aca="false">COUNTIF(Recipes!$E$3:$E$207,A81)+COUNTIF(Recipes!$G$3:$G$207,A81)</f>
        <v>3</v>
      </c>
      <c r="K81" s="10" t="str">
        <f aca="false">IF(COUNTIFS(Recipes!$B$3:$B$207,A81,Recipes!$I$3:$I$207,"&lt;&gt;simple")&gt;0,"YES","")</f>
        <v/>
      </c>
      <c r="L81" s="11" t="s">
        <v>225</v>
      </c>
    </row>
    <row r="82" customFormat="false" ht="15" hidden="false" customHeight="true" outlineLevel="0" collapsed="false">
      <c r="A82" s="3" t="s">
        <v>270</v>
      </c>
      <c r="B82" s="7" t="s">
        <v>271</v>
      </c>
      <c r="C82" s="5" t="n">
        <v>3</v>
      </c>
      <c r="D82" s="3"/>
      <c r="E82" s="7" t="s">
        <v>272</v>
      </c>
      <c r="F82" s="5" t="n">
        <v>570</v>
      </c>
      <c r="G82" s="8" t="n">
        <f aca="false">VLOOKUP(C82,Tier_Constants!$A$3:$E$8,2,FALSE())</f>
        <v>45</v>
      </c>
      <c r="H82" s="9" t="n">
        <f aca="false">VLOOKUP(C82,Tier_Constants!$A$3:$E$8,3,FALSE())</f>
        <v>15.7</v>
      </c>
      <c r="I82" s="8" t="n">
        <f aca="false">COUNTIF(Recipes!$B$3:$B$207,A82)</f>
        <v>1</v>
      </c>
      <c r="J82" s="8" t="n">
        <f aca="false">COUNTIF(Recipes!$E$3:$E$207,A82)+COUNTIF(Recipes!$G$3:$G$207,A82)</f>
        <v>7</v>
      </c>
      <c r="K82" s="10" t="str">
        <f aca="false">IF(COUNTIFS(Recipes!$B$3:$B$207,A82,Recipes!$I$3:$I$207,"&lt;&gt;simple")&gt;0,"YES","")</f>
        <v/>
      </c>
      <c r="L82" s="11" t="s">
        <v>229</v>
      </c>
    </row>
    <row r="83" customFormat="false" ht="26.25" hidden="false" customHeight="true" outlineLevel="0" collapsed="false">
      <c r="A83" s="3" t="s">
        <v>273</v>
      </c>
      <c r="B83" s="7" t="s">
        <v>274</v>
      </c>
      <c r="C83" s="5" t="n">
        <v>3</v>
      </c>
      <c r="D83" s="3"/>
      <c r="E83" s="7" t="s">
        <v>196</v>
      </c>
      <c r="F83" s="5" t="n">
        <v>620</v>
      </c>
      <c r="G83" s="8" t="n">
        <f aca="false">VLOOKUP(C83,Tier_Constants!$A$3:$E$8,2,FALSE())</f>
        <v>45</v>
      </c>
      <c r="H83" s="9" t="n">
        <f aca="false">VLOOKUP(C83,Tier_Constants!$A$3:$E$8,3,FALSE())</f>
        <v>15.7</v>
      </c>
      <c r="I83" s="8" t="n">
        <f aca="false">COUNTIF(Recipes!$B$3:$B$207,A83)</f>
        <v>2</v>
      </c>
      <c r="J83" s="8" t="n">
        <f aca="false">COUNTIF(Recipes!$E$3:$E$207,A83)+COUNTIF(Recipes!$G$3:$G$207,A83)</f>
        <v>4</v>
      </c>
      <c r="K83" s="10" t="str">
        <f aca="false">IF(COUNTIFS(Recipes!$B$3:$B$207,A83,Recipes!$I$3:$I$207,"&lt;&gt;simple")&gt;0,"YES","")</f>
        <v>YES</v>
      </c>
      <c r="L83" s="11" t="s">
        <v>213</v>
      </c>
    </row>
    <row r="84" customFormat="false" ht="26.25" hidden="false" customHeight="true" outlineLevel="0" collapsed="false">
      <c r="A84" s="3" t="s">
        <v>275</v>
      </c>
      <c r="B84" s="7" t="s">
        <v>276</v>
      </c>
      <c r="C84" s="5" t="n">
        <v>3</v>
      </c>
      <c r="D84" s="3"/>
      <c r="E84" s="7" t="s">
        <v>277</v>
      </c>
      <c r="F84" s="5" t="n">
        <v>520</v>
      </c>
      <c r="G84" s="8" t="n">
        <f aca="false">VLOOKUP(C84,Tier_Constants!$A$3:$E$8,2,FALSE())</f>
        <v>45</v>
      </c>
      <c r="H84" s="9" t="n">
        <f aca="false">VLOOKUP(C84,Tier_Constants!$A$3:$E$8,3,FALSE())</f>
        <v>15.7</v>
      </c>
      <c r="I84" s="8" t="n">
        <f aca="false">COUNTIF(Recipes!$B$3:$B$207,A84)</f>
        <v>1</v>
      </c>
      <c r="J84" s="8" t="n">
        <f aca="false">COUNTIF(Recipes!$E$3:$E$207,A84)+COUNTIF(Recipes!$G$3:$G$207,A84)</f>
        <v>4</v>
      </c>
      <c r="K84" s="10" t="str">
        <f aca="false">IF(COUNTIFS(Recipes!$B$3:$B$207,A84,Recipes!$I$3:$I$207,"&lt;&gt;simple")&gt;0,"YES","")</f>
        <v/>
      </c>
      <c r="L84" s="11" t="s">
        <v>217</v>
      </c>
    </row>
    <row r="85" customFormat="false" ht="15" hidden="false" customHeight="true" outlineLevel="0" collapsed="false">
      <c r="A85" s="3" t="s">
        <v>278</v>
      </c>
      <c r="B85" s="7" t="s">
        <v>279</v>
      </c>
      <c r="C85" s="5" t="n">
        <v>3</v>
      </c>
      <c r="D85" s="3"/>
      <c r="E85" s="7" t="s">
        <v>280</v>
      </c>
      <c r="F85" s="5" t="n">
        <v>530</v>
      </c>
      <c r="G85" s="8" t="n">
        <f aca="false">VLOOKUP(C85,Tier_Constants!$A$3:$E$8,2,FALSE())</f>
        <v>45</v>
      </c>
      <c r="H85" s="9" t="n">
        <f aca="false">VLOOKUP(C85,Tier_Constants!$A$3:$E$8,3,FALSE())</f>
        <v>15.7</v>
      </c>
      <c r="I85" s="8" t="n">
        <f aca="false">COUNTIF(Recipes!$B$3:$B$207,A85)</f>
        <v>1</v>
      </c>
      <c r="J85" s="8" t="n">
        <f aca="false">COUNTIF(Recipes!$E$3:$E$207,A85)+COUNTIF(Recipes!$G$3:$G$207,A85)</f>
        <v>4</v>
      </c>
      <c r="K85" s="10" t="str">
        <f aca="false">IF(COUNTIFS(Recipes!$B$3:$B$207,A85,Recipes!$I$3:$I$207,"&lt;&gt;simple")&gt;0,"YES","")</f>
        <v/>
      </c>
      <c r="L85" s="11" t="s">
        <v>221</v>
      </c>
    </row>
    <row r="86" customFormat="false" ht="15" hidden="false" customHeight="true" outlineLevel="0" collapsed="false">
      <c r="A86" s="3" t="s">
        <v>281</v>
      </c>
      <c r="B86" s="7" t="s">
        <v>282</v>
      </c>
      <c r="C86" s="5" t="n">
        <v>3</v>
      </c>
      <c r="D86" s="3"/>
      <c r="E86" s="7" t="s">
        <v>283</v>
      </c>
      <c r="F86" s="5" t="n">
        <v>690</v>
      </c>
      <c r="G86" s="8" t="n">
        <f aca="false">VLOOKUP(C86,Tier_Constants!$A$3:$E$8,2,FALSE())</f>
        <v>45</v>
      </c>
      <c r="H86" s="9" t="n">
        <f aca="false">VLOOKUP(C86,Tier_Constants!$A$3:$E$8,3,FALSE())</f>
        <v>15.7</v>
      </c>
      <c r="I86" s="8" t="n">
        <f aca="false">COUNTIF(Recipes!$B$3:$B$207,A86)</f>
        <v>1</v>
      </c>
      <c r="J86" s="8" t="n">
        <f aca="false">COUNTIF(Recipes!$E$3:$E$207,A86)+COUNTIF(Recipes!$G$3:$G$207,A86)</f>
        <v>4</v>
      </c>
      <c r="K86" s="10" t="str">
        <f aca="false">IF(COUNTIFS(Recipes!$B$3:$B$207,A86,Recipes!$I$3:$I$207,"&lt;&gt;simple")&gt;0,"YES","")</f>
        <v/>
      </c>
      <c r="L86" s="11" t="s">
        <v>225</v>
      </c>
    </row>
    <row r="87" customFormat="false" ht="15" hidden="false" customHeight="true" outlineLevel="0" collapsed="false">
      <c r="A87" s="3" t="s">
        <v>284</v>
      </c>
      <c r="B87" s="7" t="s">
        <v>285</v>
      </c>
      <c r="C87" s="5" t="n">
        <v>3</v>
      </c>
      <c r="D87" s="3"/>
      <c r="E87" s="7" t="s">
        <v>286</v>
      </c>
      <c r="F87" s="5" t="n">
        <v>470</v>
      </c>
      <c r="G87" s="8" t="n">
        <f aca="false">VLOOKUP(C87,Tier_Constants!$A$3:$E$8,2,FALSE())</f>
        <v>45</v>
      </c>
      <c r="H87" s="9" t="n">
        <f aca="false">VLOOKUP(C87,Tier_Constants!$A$3:$E$8,3,FALSE())</f>
        <v>15.7</v>
      </c>
      <c r="I87" s="8" t="n">
        <f aca="false">COUNTIF(Recipes!$B$3:$B$207,A87)</f>
        <v>1</v>
      </c>
      <c r="J87" s="8" t="n">
        <f aca="false">COUNTIF(Recipes!$E$3:$E$207,A87)+COUNTIF(Recipes!$G$3:$G$207,A87)</f>
        <v>2</v>
      </c>
      <c r="K87" s="10" t="str">
        <f aca="false">IF(COUNTIFS(Recipes!$B$3:$B$207,A87,Recipes!$I$3:$I$207,"&lt;&gt;simple")&gt;0,"YES","")</f>
        <v/>
      </c>
      <c r="L87" s="11" t="s">
        <v>229</v>
      </c>
    </row>
    <row r="88" customFormat="false" ht="26.25" hidden="false" customHeight="true" outlineLevel="0" collapsed="false">
      <c r="A88" s="3" t="s">
        <v>287</v>
      </c>
      <c r="B88" s="7" t="s">
        <v>288</v>
      </c>
      <c r="C88" s="5" t="n">
        <v>3</v>
      </c>
      <c r="D88" s="3"/>
      <c r="E88" s="7" t="s">
        <v>289</v>
      </c>
      <c r="F88" s="5" t="n">
        <v>680</v>
      </c>
      <c r="G88" s="8" t="n">
        <f aca="false">VLOOKUP(C88,Tier_Constants!$A$3:$E$8,2,FALSE())</f>
        <v>45</v>
      </c>
      <c r="H88" s="9" t="n">
        <f aca="false">VLOOKUP(C88,Tier_Constants!$A$3:$E$8,3,FALSE())</f>
        <v>15.7</v>
      </c>
      <c r="I88" s="8" t="n">
        <f aca="false">COUNTIF(Recipes!$B$3:$B$207,A88)</f>
        <v>1</v>
      </c>
      <c r="J88" s="8" t="n">
        <f aca="false">COUNTIF(Recipes!$E$3:$E$207,A88)+COUNTIF(Recipes!$G$3:$G$207,A88)</f>
        <v>3</v>
      </c>
      <c r="K88" s="10" t="str">
        <f aca="false">IF(COUNTIFS(Recipes!$B$3:$B$207,A88,Recipes!$I$3:$I$207,"&lt;&gt;simple")&gt;0,"YES","")</f>
        <v/>
      </c>
      <c r="L88" s="11" t="s">
        <v>213</v>
      </c>
    </row>
    <row r="89" customFormat="false" ht="26.25" hidden="false" customHeight="true" outlineLevel="0" collapsed="false">
      <c r="A89" s="3" t="s">
        <v>290</v>
      </c>
      <c r="B89" s="7" t="s">
        <v>291</v>
      </c>
      <c r="C89" s="5" t="n">
        <v>3</v>
      </c>
      <c r="D89" s="3"/>
      <c r="E89" s="7" t="s">
        <v>292</v>
      </c>
      <c r="F89" s="5" t="n">
        <v>460</v>
      </c>
      <c r="G89" s="8" t="n">
        <f aca="false">VLOOKUP(C89,Tier_Constants!$A$3:$E$8,2,FALSE())</f>
        <v>45</v>
      </c>
      <c r="H89" s="9" t="n">
        <f aca="false">VLOOKUP(C89,Tier_Constants!$A$3:$E$8,3,FALSE())</f>
        <v>15.7</v>
      </c>
      <c r="I89" s="8" t="n">
        <f aca="false">COUNTIF(Recipes!$B$3:$B$207,A89)</f>
        <v>1</v>
      </c>
      <c r="J89" s="8" t="n">
        <f aca="false">COUNTIF(Recipes!$E$3:$E$207,A89)+COUNTIF(Recipes!$G$3:$G$207,A89)</f>
        <v>2</v>
      </c>
      <c r="K89" s="10" t="str">
        <f aca="false">IF(COUNTIFS(Recipes!$B$3:$B$207,A89,Recipes!$I$3:$I$207,"&lt;&gt;simple")&gt;0,"YES","")</f>
        <v/>
      </c>
      <c r="L89" s="11" t="s">
        <v>217</v>
      </c>
    </row>
    <row r="90" customFormat="false" ht="15" hidden="false" customHeight="true" outlineLevel="0" collapsed="false">
      <c r="A90" s="3" t="s">
        <v>293</v>
      </c>
      <c r="B90" s="7" t="s">
        <v>294</v>
      </c>
      <c r="C90" s="5" t="n">
        <v>3</v>
      </c>
      <c r="D90" s="3"/>
      <c r="E90" s="7" t="s">
        <v>103</v>
      </c>
      <c r="F90" s="5" t="n">
        <v>420</v>
      </c>
      <c r="G90" s="8" t="n">
        <f aca="false">VLOOKUP(C90,Tier_Constants!$A$3:$E$8,2,FALSE())</f>
        <v>45</v>
      </c>
      <c r="H90" s="9" t="n">
        <f aca="false">VLOOKUP(C90,Tier_Constants!$A$3:$E$8,3,FALSE())</f>
        <v>15.7</v>
      </c>
      <c r="I90" s="8" t="n">
        <f aca="false">COUNTIF(Recipes!$B$3:$B$207,A90)</f>
        <v>4</v>
      </c>
      <c r="J90" s="8" t="n">
        <f aca="false">COUNTIF(Recipes!$E$3:$E$207,A90)+COUNTIF(Recipes!$G$3:$G$207,A90)</f>
        <v>2</v>
      </c>
      <c r="K90" s="10" t="str">
        <f aca="false">IF(COUNTIFS(Recipes!$B$3:$B$207,A90,Recipes!$I$3:$I$207,"&lt;&gt;simple")&gt;0,"YES","")</f>
        <v>YES</v>
      </c>
      <c r="L90" s="11" t="s">
        <v>221</v>
      </c>
    </row>
    <row r="91" customFormat="false" ht="15" hidden="false" customHeight="true" outlineLevel="0" collapsed="false">
      <c r="A91" s="3" t="s">
        <v>295</v>
      </c>
      <c r="B91" s="7" t="s">
        <v>296</v>
      </c>
      <c r="C91" s="5" t="n">
        <v>3</v>
      </c>
      <c r="D91" s="3"/>
      <c r="E91" s="7" t="s">
        <v>297</v>
      </c>
      <c r="F91" s="5" t="n">
        <v>510</v>
      </c>
      <c r="G91" s="8" t="n">
        <f aca="false">VLOOKUP(C91,Tier_Constants!$A$3:$E$8,2,FALSE())</f>
        <v>45</v>
      </c>
      <c r="H91" s="9" t="n">
        <f aca="false">VLOOKUP(C91,Tier_Constants!$A$3:$E$8,3,FALSE())</f>
        <v>15.7</v>
      </c>
      <c r="I91" s="8" t="n">
        <f aca="false">COUNTIF(Recipes!$B$3:$B$207,A91)</f>
        <v>1</v>
      </c>
      <c r="J91" s="8" t="n">
        <f aca="false">COUNTIF(Recipes!$E$3:$E$207,A91)+COUNTIF(Recipes!$G$3:$G$207,A91)</f>
        <v>2</v>
      </c>
      <c r="K91" s="10" t="str">
        <f aca="false">IF(COUNTIFS(Recipes!$B$3:$B$207,A91,Recipes!$I$3:$I$207,"&lt;&gt;simple")&gt;0,"YES","")</f>
        <v/>
      </c>
      <c r="L91" s="11" t="s">
        <v>225</v>
      </c>
    </row>
    <row r="92" customFormat="false" ht="15" hidden="false" customHeight="true" outlineLevel="0" collapsed="false">
      <c r="A92" s="3" t="s">
        <v>298</v>
      </c>
      <c r="B92" s="7" t="s">
        <v>299</v>
      </c>
      <c r="C92" s="5" t="n">
        <v>3</v>
      </c>
      <c r="D92" s="3"/>
      <c r="E92" s="7" t="s">
        <v>300</v>
      </c>
      <c r="F92" s="5" t="n">
        <v>540</v>
      </c>
      <c r="G92" s="8" t="n">
        <f aca="false">VLOOKUP(C92,Tier_Constants!$A$3:$E$8,2,FALSE())</f>
        <v>45</v>
      </c>
      <c r="H92" s="9" t="n">
        <f aca="false">VLOOKUP(C92,Tier_Constants!$A$3:$E$8,3,FALSE())</f>
        <v>15.7</v>
      </c>
      <c r="I92" s="8" t="n">
        <f aca="false">COUNTIF(Recipes!$B$3:$B$207,A92)</f>
        <v>1</v>
      </c>
      <c r="J92" s="8" t="n">
        <f aca="false">COUNTIF(Recipes!$E$3:$E$207,A92)+COUNTIF(Recipes!$G$3:$G$207,A92)</f>
        <v>2</v>
      </c>
      <c r="K92" s="10" t="str">
        <f aca="false">IF(COUNTIFS(Recipes!$B$3:$B$207,A92,Recipes!$I$3:$I$207,"&lt;&gt;simple")&gt;0,"YES","")</f>
        <v/>
      </c>
      <c r="L92" s="11" t="s">
        <v>229</v>
      </c>
    </row>
    <row r="93" customFormat="false" ht="26.25" hidden="false" customHeight="true" outlineLevel="0" collapsed="false">
      <c r="A93" s="3" t="s">
        <v>301</v>
      </c>
      <c r="B93" s="7" t="s">
        <v>302</v>
      </c>
      <c r="C93" s="5" t="n">
        <v>4</v>
      </c>
      <c r="D93" s="3"/>
      <c r="E93" s="7" t="s">
        <v>58</v>
      </c>
      <c r="F93" s="5" t="n">
        <v>2400</v>
      </c>
      <c r="G93" s="8" t="n">
        <f aca="false">VLOOKUP(C93,Tier_Constants!$A$3:$E$8,2,FALSE())</f>
        <v>180</v>
      </c>
      <c r="H93" s="9" t="n">
        <f aca="false">VLOOKUP(C93,Tier_Constants!$A$3:$E$8,3,FALSE())</f>
        <v>21.9</v>
      </c>
      <c r="I93" s="8" t="n">
        <f aca="false">COUNTIF(Recipes!$B$3:$B$207,A93)</f>
        <v>2</v>
      </c>
      <c r="J93" s="8" t="n">
        <f aca="false">COUNTIF(Recipes!$E$3:$E$207,A93)+COUNTIF(Recipes!$G$3:$G$207,A93)</f>
        <v>2</v>
      </c>
      <c r="K93" s="10" t="str">
        <f aca="false">IF(COUNTIFS(Recipes!$B$3:$B$207,A93,Recipes!$I$3:$I$207,"&lt;&gt;simple")&gt;0,"YES","")</f>
        <v/>
      </c>
      <c r="L93" s="11" t="s">
        <v>303</v>
      </c>
    </row>
    <row r="94" customFormat="false" ht="15" hidden="false" customHeight="true" outlineLevel="0" collapsed="false">
      <c r="A94" s="3" t="s">
        <v>304</v>
      </c>
      <c r="B94" s="7" t="s">
        <v>305</v>
      </c>
      <c r="C94" s="5" t="n">
        <v>4</v>
      </c>
      <c r="D94" s="3"/>
      <c r="E94" s="7" t="s">
        <v>306</v>
      </c>
      <c r="F94" s="5" t="n">
        <v>3350</v>
      </c>
      <c r="G94" s="8" t="n">
        <f aca="false">VLOOKUP(C94,Tier_Constants!$A$3:$E$8,2,FALSE())</f>
        <v>180</v>
      </c>
      <c r="H94" s="9" t="n">
        <f aca="false">VLOOKUP(C94,Tier_Constants!$A$3:$E$8,3,FALSE())</f>
        <v>21.9</v>
      </c>
      <c r="I94" s="8" t="n">
        <f aca="false">COUNTIF(Recipes!$B$3:$B$207,A94)</f>
        <v>2</v>
      </c>
      <c r="J94" s="8" t="n">
        <f aca="false">COUNTIF(Recipes!$E$3:$E$207,A94)+COUNTIF(Recipes!$G$3:$G$207,A94)</f>
        <v>2</v>
      </c>
      <c r="K94" s="10" t="str">
        <f aca="false">IF(COUNTIFS(Recipes!$B$3:$B$207,A94,Recipes!$I$3:$I$207,"&lt;&gt;simple")&gt;0,"YES","")</f>
        <v/>
      </c>
      <c r="L94" s="11" t="s">
        <v>307</v>
      </c>
    </row>
    <row r="95" customFormat="false" ht="15" hidden="false" customHeight="true" outlineLevel="0" collapsed="false">
      <c r="A95" s="3" t="s">
        <v>308</v>
      </c>
      <c r="B95" s="7" t="s">
        <v>309</v>
      </c>
      <c r="C95" s="5" t="n">
        <v>4</v>
      </c>
      <c r="D95" s="3"/>
      <c r="E95" s="7" t="s">
        <v>310</v>
      </c>
      <c r="F95" s="5" t="n">
        <v>3750</v>
      </c>
      <c r="G95" s="8" t="n">
        <f aca="false">VLOOKUP(C95,Tier_Constants!$A$3:$E$8,2,FALSE())</f>
        <v>180</v>
      </c>
      <c r="H95" s="9" t="n">
        <f aca="false">VLOOKUP(C95,Tier_Constants!$A$3:$E$8,3,FALSE())</f>
        <v>21.9</v>
      </c>
      <c r="I95" s="8" t="n">
        <f aca="false">COUNTIF(Recipes!$B$3:$B$207,A95)</f>
        <v>5</v>
      </c>
      <c r="J95" s="8" t="n">
        <f aca="false">COUNTIF(Recipes!$E$3:$E$207,A95)+COUNTIF(Recipes!$G$3:$G$207,A95)</f>
        <v>2</v>
      </c>
      <c r="K95" s="10" t="str">
        <f aca="false">IF(COUNTIFS(Recipes!$B$3:$B$207,A95,Recipes!$I$3:$I$207,"&lt;&gt;simple")&gt;0,"YES","")</f>
        <v>YES</v>
      </c>
      <c r="L95" s="11" t="s">
        <v>311</v>
      </c>
    </row>
    <row r="96" customFormat="false" ht="15" hidden="false" customHeight="true" outlineLevel="0" collapsed="false">
      <c r="A96" s="3" t="s">
        <v>312</v>
      </c>
      <c r="B96" s="7" t="s">
        <v>313</v>
      </c>
      <c r="C96" s="5" t="n">
        <v>4</v>
      </c>
      <c r="D96" s="3"/>
      <c r="E96" s="7" t="s">
        <v>61</v>
      </c>
      <c r="F96" s="5" t="n">
        <v>3600</v>
      </c>
      <c r="G96" s="8" t="n">
        <f aca="false">VLOOKUP(C96,Tier_Constants!$A$3:$E$8,2,FALSE())</f>
        <v>180</v>
      </c>
      <c r="H96" s="9" t="n">
        <f aca="false">VLOOKUP(C96,Tier_Constants!$A$3:$E$8,3,FALSE())</f>
        <v>21.9</v>
      </c>
      <c r="I96" s="8" t="n">
        <f aca="false">COUNTIF(Recipes!$B$3:$B$207,A96)</f>
        <v>2</v>
      </c>
      <c r="J96" s="8" t="n">
        <f aca="false">COUNTIF(Recipes!$E$3:$E$207,A96)+COUNTIF(Recipes!$G$3:$G$207,A96)</f>
        <v>2</v>
      </c>
      <c r="K96" s="10" t="str">
        <f aca="false">IF(COUNTIFS(Recipes!$B$3:$B$207,A96,Recipes!$I$3:$I$207,"&lt;&gt;simple")&gt;0,"YES","")</f>
        <v/>
      </c>
      <c r="L96" s="11" t="s">
        <v>314</v>
      </c>
    </row>
    <row r="97" customFormat="false" ht="15" hidden="false" customHeight="true" outlineLevel="0" collapsed="false">
      <c r="A97" s="3" t="s">
        <v>315</v>
      </c>
      <c r="B97" s="7" t="s">
        <v>316</v>
      </c>
      <c r="C97" s="5" t="n">
        <v>4</v>
      </c>
      <c r="D97" s="3"/>
      <c r="E97" s="7" t="s">
        <v>178</v>
      </c>
      <c r="F97" s="5" t="n">
        <v>2250</v>
      </c>
      <c r="G97" s="8" t="n">
        <f aca="false">VLOOKUP(C97,Tier_Constants!$A$3:$E$8,2,FALSE())</f>
        <v>180</v>
      </c>
      <c r="H97" s="9" t="n">
        <f aca="false">VLOOKUP(C97,Tier_Constants!$A$3:$E$8,3,FALSE())</f>
        <v>21.9</v>
      </c>
      <c r="I97" s="8" t="n">
        <f aca="false">COUNTIF(Recipes!$B$3:$B$207,A97)</f>
        <v>2</v>
      </c>
      <c r="J97" s="8" t="n">
        <f aca="false">COUNTIF(Recipes!$E$3:$E$207,A97)+COUNTIF(Recipes!$G$3:$G$207,A97)</f>
        <v>2</v>
      </c>
      <c r="K97" s="10" t="str">
        <f aca="false">IF(COUNTIFS(Recipes!$B$3:$B$207,A97,Recipes!$I$3:$I$207,"&lt;&gt;simple")&gt;0,"YES","")</f>
        <v/>
      </c>
      <c r="L97" s="11" t="s">
        <v>317</v>
      </c>
    </row>
    <row r="98" customFormat="false" ht="26.25" hidden="false" customHeight="true" outlineLevel="0" collapsed="false">
      <c r="A98" s="3" t="s">
        <v>318</v>
      </c>
      <c r="B98" s="7" t="s">
        <v>319</v>
      </c>
      <c r="C98" s="5" t="n">
        <v>4</v>
      </c>
      <c r="D98" s="3"/>
      <c r="E98" s="7" t="s">
        <v>58</v>
      </c>
      <c r="F98" s="5" t="n">
        <v>3400</v>
      </c>
      <c r="G98" s="8" t="n">
        <f aca="false">VLOOKUP(C98,Tier_Constants!$A$3:$E$8,2,FALSE())</f>
        <v>180</v>
      </c>
      <c r="H98" s="9" t="n">
        <f aca="false">VLOOKUP(C98,Tier_Constants!$A$3:$E$8,3,FALSE())</f>
        <v>21.9</v>
      </c>
      <c r="I98" s="8" t="n">
        <f aca="false">COUNTIF(Recipes!$B$3:$B$207,A98)</f>
        <v>2</v>
      </c>
      <c r="J98" s="8" t="n">
        <f aca="false">COUNTIF(Recipes!$E$3:$E$207,A98)+COUNTIF(Recipes!$G$3:$G$207,A98)</f>
        <v>2</v>
      </c>
      <c r="K98" s="10" t="str">
        <f aca="false">IF(COUNTIFS(Recipes!$B$3:$B$207,A98,Recipes!$I$3:$I$207,"&lt;&gt;simple")&gt;0,"YES","")</f>
        <v/>
      </c>
      <c r="L98" s="11" t="s">
        <v>303</v>
      </c>
    </row>
    <row r="99" customFormat="false" ht="15" hidden="false" customHeight="true" outlineLevel="0" collapsed="false">
      <c r="A99" s="3" t="s">
        <v>320</v>
      </c>
      <c r="B99" s="7" t="s">
        <v>321</v>
      </c>
      <c r="C99" s="5" t="n">
        <v>4</v>
      </c>
      <c r="D99" s="3"/>
      <c r="E99" s="7" t="s">
        <v>228</v>
      </c>
      <c r="F99" s="5" t="n">
        <v>4000</v>
      </c>
      <c r="G99" s="8" t="n">
        <f aca="false">VLOOKUP(C99,Tier_Constants!$A$3:$E$8,2,FALSE())</f>
        <v>180</v>
      </c>
      <c r="H99" s="9" t="n">
        <f aca="false">VLOOKUP(C99,Tier_Constants!$A$3:$E$8,3,FALSE())</f>
        <v>21.9</v>
      </c>
      <c r="I99" s="8" t="n">
        <f aca="false">COUNTIF(Recipes!$B$3:$B$207,A99)</f>
        <v>2</v>
      </c>
      <c r="J99" s="8" t="n">
        <f aca="false">COUNTIF(Recipes!$E$3:$E$207,A99)+COUNTIF(Recipes!$G$3:$G$207,A99)</f>
        <v>2</v>
      </c>
      <c r="K99" s="10" t="str">
        <f aca="false">IF(COUNTIFS(Recipes!$B$3:$B$207,A99,Recipes!$I$3:$I$207,"&lt;&gt;simple")&gt;0,"YES","")</f>
        <v/>
      </c>
      <c r="L99" s="11" t="s">
        <v>307</v>
      </c>
    </row>
    <row r="100" customFormat="false" ht="15" hidden="false" customHeight="true" outlineLevel="0" collapsed="false">
      <c r="A100" s="3" t="s">
        <v>322</v>
      </c>
      <c r="B100" s="7" t="s">
        <v>323</v>
      </c>
      <c r="C100" s="5" t="n">
        <v>4</v>
      </c>
      <c r="D100" s="3"/>
      <c r="E100" s="7" t="s">
        <v>61</v>
      </c>
      <c r="F100" s="5" t="n">
        <v>3900</v>
      </c>
      <c r="G100" s="8" t="n">
        <f aca="false">VLOOKUP(C100,Tier_Constants!$A$3:$E$8,2,FALSE())</f>
        <v>180</v>
      </c>
      <c r="H100" s="9" t="n">
        <f aca="false">VLOOKUP(C100,Tier_Constants!$A$3:$E$8,3,FALSE())</f>
        <v>21.9</v>
      </c>
      <c r="I100" s="8" t="n">
        <f aca="false">COUNTIF(Recipes!$B$3:$B$207,A100)</f>
        <v>2</v>
      </c>
      <c r="J100" s="8" t="n">
        <f aca="false">COUNTIF(Recipes!$E$3:$E$207,A100)+COUNTIF(Recipes!$G$3:$G$207,A100)</f>
        <v>2</v>
      </c>
      <c r="K100" s="10" t="str">
        <f aca="false">IF(COUNTIFS(Recipes!$B$3:$B$207,A100,Recipes!$I$3:$I$207,"&lt;&gt;simple")&gt;0,"YES","")</f>
        <v/>
      </c>
      <c r="L100" s="11" t="s">
        <v>311</v>
      </c>
    </row>
    <row r="101" customFormat="false" ht="15" hidden="false" customHeight="true" outlineLevel="0" collapsed="false">
      <c r="A101" s="3" t="s">
        <v>324</v>
      </c>
      <c r="B101" s="7" t="s">
        <v>325</v>
      </c>
      <c r="C101" s="5" t="n">
        <v>4</v>
      </c>
      <c r="D101" s="3"/>
      <c r="E101" s="7" t="s">
        <v>103</v>
      </c>
      <c r="F101" s="5" t="n">
        <v>3850</v>
      </c>
      <c r="G101" s="8" t="n">
        <f aca="false">VLOOKUP(C101,Tier_Constants!$A$3:$E$8,2,FALSE())</f>
        <v>180</v>
      </c>
      <c r="H101" s="9" t="n">
        <f aca="false">VLOOKUP(C101,Tier_Constants!$A$3:$E$8,3,FALSE())</f>
        <v>21.9</v>
      </c>
      <c r="I101" s="8" t="n">
        <f aca="false">COUNTIF(Recipes!$B$3:$B$207,A101)</f>
        <v>2</v>
      </c>
      <c r="J101" s="8" t="n">
        <f aca="false">COUNTIF(Recipes!$E$3:$E$207,A101)+COUNTIF(Recipes!$G$3:$G$207,A101)</f>
        <v>2</v>
      </c>
      <c r="K101" s="10" t="str">
        <f aca="false">IF(COUNTIFS(Recipes!$B$3:$B$207,A101,Recipes!$I$3:$I$207,"&lt;&gt;simple")&gt;0,"YES","")</f>
        <v/>
      </c>
      <c r="L101" s="11" t="s">
        <v>314</v>
      </c>
    </row>
    <row r="102" customFormat="false" ht="15" hidden="false" customHeight="true" outlineLevel="0" collapsed="false">
      <c r="A102" s="3" t="s">
        <v>326</v>
      </c>
      <c r="B102" s="7" t="s">
        <v>327</v>
      </c>
      <c r="C102" s="5" t="n">
        <v>4</v>
      </c>
      <c r="D102" s="3"/>
      <c r="E102" s="7" t="s">
        <v>310</v>
      </c>
      <c r="F102" s="5" t="n">
        <v>3650</v>
      </c>
      <c r="G102" s="8" t="n">
        <f aca="false">VLOOKUP(C102,Tier_Constants!$A$3:$E$8,2,FALSE())</f>
        <v>180</v>
      </c>
      <c r="H102" s="9" t="n">
        <f aca="false">VLOOKUP(C102,Tier_Constants!$A$3:$E$8,3,FALSE())</f>
        <v>21.9</v>
      </c>
      <c r="I102" s="8" t="n">
        <f aca="false">COUNTIF(Recipes!$B$3:$B$207,A102)</f>
        <v>5</v>
      </c>
      <c r="J102" s="8" t="n">
        <f aca="false">COUNTIF(Recipes!$E$3:$E$207,A102)+COUNTIF(Recipes!$G$3:$G$207,A102)</f>
        <v>2</v>
      </c>
      <c r="K102" s="10" t="str">
        <f aca="false">IF(COUNTIFS(Recipes!$B$3:$B$207,A102,Recipes!$I$3:$I$207,"&lt;&gt;simple")&gt;0,"YES","")</f>
        <v>YES</v>
      </c>
      <c r="L102" s="11" t="s">
        <v>317</v>
      </c>
    </row>
    <row r="103" customFormat="false" ht="26.25" hidden="false" customHeight="true" outlineLevel="0" collapsed="false">
      <c r="A103" s="3" t="s">
        <v>328</v>
      </c>
      <c r="B103" s="7" t="s">
        <v>329</v>
      </c>
      <c r="C103" s="5" t="n">
        <v>4</v>
      </c>
      <c r="D103" s="3"/>
      <c r="E103" s="7" t="s">
        <v>61</v>
      </c>
      <c r="F103" s="5" t="n">
        <v>3000</v>
      </c>
      <c r="G103" s="8" t="n">
        <f aca="false">VLOOKUP(C103,Tier_Constants!$A$3:$E$8,2,FALSE())</f>
        <v>180</v>
      </c>
      <c r="H103" s="9" t="n">
        <f aca="false">VLOOKUP(C103,Tier_Constants!$A$3:$E$8,3,FALSE())</f>
        <v>21.9</v>
      </c>
      <c r="I103" s="8" t="n">
        <f aca="false">COUNTIF(Recipes!$B$3:$B$207,A103)</f>
        <v>1</v>
      </c>
      <c r="J103" s="8" t="n">
        <f aca="false">COUNTIF(Recipes!$E$3:$E$207,A103)+COUNTIF(Recipes!$G$3:$G$207,A103)</f>
        <v>2</v>
      </c>
      <c r="K103" s="10" t="str">
        <f aca="false">IF(COUNTIFS(Recipes!$B$3:$B$207,A103,Recipes!$I$3:$I$207,"&lt;&gt;simple")&gt;0,"YES","")</f>
        <v/>
      </c>
      <c r="L103" s="11" t="s">
        <v>303</v>
      </c>
    </row>
    <row r="104" customFormat="false" ht="15" hidden="false" customHeight="true" outlineLevel="0" collapsed="false">
      <c r="A104" s="3" t="s">
        <v>330</v>
      </c>
      <c r="B104" s="7" t="s">
        <v>331</v>
      </c>
      <c r="C104" s="5" t="n">
        <v>4</v>
      </c>
      <c r="D104" s="3"/>
      <c r="E104" s="7" t="s">
        <v>332</v>
      </c>
      <c r="F104" s="5" t="n">
        <v>2500</v>
      </c>
      <c r="G104" s="8" t="n">
        <f aca="false">VLOOKUP(C104,Tier_Constants!$A$3:$E$8,2,FALSE())</f>
        <v>180</v>
      </c>
      <c r="H104" s="9" t="n">
        <f aca="false">VLOOKUP(C104,Tier_Constants!$A$3:$E$8,3,FALSE())</f>
        <v>21.9</v>
      </c>
      <c r="I104" s="8" t="n">
        <f aca="false">COUNTIF(Recipes!$B$3:$B$207,A104)</f>
        <v>1</v>
      </c>
      <c r="J104" s="8" t="n">
        <f aca="false">COUNTIF(Recipes!$E$3:$E$207,A104)+COUNTIF(Recipes!$G$3:$G$207,A104)</f>
        <v>1</v>
      </c>
      <c r="K104" s="10" t="str">
        <f aca="false">IF(COUNTIFS(Recipes!$B$3:$B$207,A104,Recipes!$I$3:$I$207,"&lt;&gt;simple")&gt;0,"YES","")</f>
        <v/>
      </c>
      <c r="L104" s="11" t="s">
        <v>307</v>
      </c>
    </row>
    <row r="105" customFormat="false" ht="15" hidden="false" customHeight="true" outlineLevel="0" collapsed="false">
      <c r="A105" s="3" t="s">
        <v>333</v>
      </c>
      <c r="B105" s="7" t="s">
        <v>334</v>
      </c>
      <c r="C105" s="5" t="n">
        <v>4</v>
      </c>
      <c r="D105" s="3"/>
      <c r="E105" s="7" t="s">
        <v>283</v>
      </c>
      <c r="F105" s="5" t="n">
        <v>2000</v>
      </c>
      <c r="G105" s="8" t="n">
        <f aca="false">VLOOKUP(C105,Tier_Constants!$A$3:$E$8,2,FALSE())</f>
        <v>180</v>
      </c>
      <c r="H105" s="9" t="n">
        <f aca="false">VLOOKUP(C105,Tier_Constants!$A$3:$E$8,3,FALSE())</f>
        <v>21.9</v>
      </c>
      <c r="I105" s="8" t="n">
        <f aca="false">COUNTIF(Recipes!$B$3:$B$207,A105)</f>
        <v>1</v>
      </c>
      <c r="J105" s="8" t="n">
        <f aca="false">COUNTIF(Recipes!$E$3:$E$207,A105)+COUNTIF(Recipes!$G$3:$G$207,A105)</f>
        <v>1</v>
      </c>
      <c r="K105" s="10" t="str">
        <f aca="false">IF(COUNTIFS(Recipes!$B$3:$B$207,A105,Recipes!$I$3:$I$207,"&lt;&gt;simple")&gt;0,"YES","")</f>
        <v/>
      </c>
      <c r="L105" s="11" t="s">
        <v>311</v>
      </c>
    </row>
    <row r="106" customFormat="false" ht="15" hidden="false" customHeight="true" outlineLevel="0" collapsed="false">
      <c r="A106" s="3" t="s">
        <v>335</v>
      </c>
      <c r="B106" s="7" t="s">
        <v>336</v>
      </c>
      <c r="C106" s="5" t="n">
        <v>4</v>
      </c>
      <c r="D106" s="3"/>
      <c r="E106" s="7" t="s">
        <v>61</v>
      </c>
      <c r="F106" s="5" t="n">
        <v>2900</v>
      </c>
      <c r="G106" s="8" t="n">
        <f aca="false">VLOOKUP(C106,Tier_Constants!$A$3:$E$8,2,FALSE())</f>
        <v>180</v>
      </c>
      <c r="H106" s="9" t="n">
        <f aca="false">VLOOKUP(C106,Tier_Constants!$A$3:$E$8,3,FALSE())</f>
        <v>21.9</v>
      </c>
      <c r="I106" s="8" t="n">
        <f aca="false">COUNTIF(Recipes!$B$3:$B$207,A106)</f>
        <v>1</v>
      </c>
      <c r="J106" s="8" t="n">
        <f aca="false">COUNTIF(Recipes!$E$3:$E$207,A106)+COUNTIF(Recipes!$G$3:$G$207,A106)</f>
        <v>1</v>
      </c>
      <c r="K106" s="10" t="str">
        <f aca="false">IF(COUNTIFS(Recipes!$B$3:$B$207,A106,Recipes!$I$3:$I$207,"&lt;&gt;simple")&gt;0,"YES","")</f>
        <v/>
      </c>
      <c r="L106" s="11" t="s">
        <v>314</v>
      </c>
    </row>
    <row r="107" customFormat="false" ht="15" hidden="false" customHeight="true" outlineLevel="0" collapsed="false">
      <c r="A107" s="3" t="s">
        <v>337</v>
      </c>
      <c r="B107" s="7" t="s">
        <v>338</v>
      </c>
      <c r="C107" s="5" t="n">
        <v>4</v>
      </c>
      <c r="D107" s="3"/>
      <c r="E107" s="7" t="s">
        <v>106</v>
      </c>
      <c r="F107" s="5" t="n">
        <v>2100</v>
      </c>
      <c r="G107" s="8" t="n">
        <f aca="false">VLOOKUP(C107,Tier_Constants!$A$3:$E$8,2,FALSE())</f>
        <v>180</v>
      </c>
      <c r="H107" s="9" t="n">
        <f aca="false">VLOOKUP(C107,Tier_Constants!$A$3:$E$8,3,FALSE())</f>
        <v>21.9</v>
      </c>
      <c r="I107" s="8" t="n">
        <f aca="false">COUNTIF(Recipes!$B$3:$B$207,A107)</f>
        <v>1</v>
      </c>
      <c r="J107" s="8" t="n">
        <f aca="false">COUNTIF(Recipes!$E$3:$E$207,A107)+COUNTIF(Recipes!$G$3:$G$207,A107)</f>
        <v>1</v>
      </c>
      <c r="K107" s="10" t="str">
        <f aca="false">IF(COUNTIFS(Recipes!$B$3:$B$207,A107,Recipes!$I$3:$I$207,"&lt;&gt;simple")&gt;0,"YES","")</f>
        <v/>
      </c>
      <c r="L107" s="11" t="s">
        <v>317</v>
      </c>
    </row>
    <row r="108" customFormat="false" ht="26.25" hidden="false" customHeight="true" outlineLevel="0" collapsed="false">
      <c r="A108" s="3" t="s">
        <v>339</v>
      </c>
      <c r="B108" s="7" t="s">
        <v>340</v>
      </c>
      <c r="C108" s="5" t="n">
        <v>4</v>
      </c>
      <c r="D108" s="3"/>
      <c r="E108" s="7" t="s">
        <v>44</v>
      </c>
      <c r="F108" s="5" t="n">
        <v>2150</v>
      </c>
      <c r="G108" s="8" t="n">
        <f aca="false">VLOOKUP(C108,Tier_Constants!$A$3:$E$8,2,FALSE())</f>
        <v>180</v>
      </c>
      <c r="H108" s="9" t="n">
        <f aca="false">VLOOKUP(C108,Tier_Constants!$A$3:$E$8,3,FALSE())</f>
        <v>21.9</v>
      </c>
      <c r="I108" s="8" t="n">
        <f aca="false">COUNTIF(Recipes!$B$3:$B$207,A108)</f>
        <v>1</v>
      </c>
      <c r="J108" s="8" t="n">
        <f aca="false">COUNTIF(Recipes!$E$3:$E$207,A108)+COUNTIF(Recipes!$G$3:$G$207,A108)</f>
        <v>1</v>
      </c>
      <c r="K108" s="10" t="str">
        <f aca="false">IF(COUNTIFS(Recipes!$B$3:$B$207,A108,Recipes!$I$3:$I$207,"&lt;&gt;simple")&gt;0,"YES","")</f>
        <v/>
      </c>
      <c r="L108" s="11" t="s">
        <v>303</v>
      </c>
    </row>
    <row r="109" customFormat="false" ht="15" hidden="false" customHeight="true" outlineLevel="0" collapsed="false">
      <c r="A109" s="3" t="s">
        <v>341</v>
      </c>
      <c r="B109" s="7" t="s">
        <v>342</v>
      </c>
      <c r="C109" s="5" t="n">
        <v>4</v>
      </c>
      <c r="D109" s="3"/>
      <c r="E109" s="7" t="s">
        <v>91</v>
      </c>
      <c r="F109" s="5" t="n">
        <v>3250</v>
      </c>
      <c r="G109" s="8" t="n">
        <f aca="false">VLOOKUP(C109,Tier_Constants!$A$3:$E$8,2,FALSE())</f>
        <v>180</v>
      </c>
      <c r="H109" s="9" t="n">
        <f aca="false">VLOOKUP(C109,Tier_Constants!$A$3:$E$8,3,FALSE())</f>
        <v>21.9</v>
      </c>
      <c r="I109" s="8" t="n">
        <f aca="false">COUNTIF(Recipes!$B$3:$B$207,A109)</f>
        <v>1</v>
      </c>
      <c r="J109" s="8" t="n">
        <f aca="false">COUNTIF(Recipes!$E$3:$E$207,A109)+COUNTIF(Recipes!$G$3:$G$207,A109)</f>
        <v>1</v>
      </c>
      <c r="K109" s="10" t="str">
        <f aca="false">IF(COUNTIFS(Recipes!$B$3:$B$207,A109,Recipes!$I$3:$I$207,"&lt;&gt;simple")&gt;0,"YES","")</f>
        <v/>
      </c>
      <c r="L109" s="11" t="s">
        <v>307</v>
      </c>
    </row>
    <row r="110" customFormat="false" ht="15" hidden="false" customHeight="true" outlineLevel="0" collapsed="false">
      <c r="A110" s="3" t="s">
        <v>343</v>
      </c>
      <c r="B110" s="7" t="s">
        <v>344</v>
      </c>
      <c r="C110" s="5" t="n">
        <v>4</v>
      </c>
      <c r="D110" s="3"/>
      <c r="E110" s="7" t="s">
        <v>345</v>
      </c>
      <c r="F110" s="5" t="n">
        <v>2600</v>
      </c>
      <c r="G110" s="8" t="n">
        <f aca="false">VLOOKUP(C110,Tier_Constants!$A$3:$E$8,2,FALSE())</f>
        <v>180</v>
      </c>
      <c r="H110" s="9" t="n">
        <f aca="false">VLOOKUP(C110,Tier_Constants!$A$3:$E$8,3,FALSE())</f>
        <v>21.9</v>
      </c>
      <c r="I110" s="8" t="n">
        <f aca="false">COUNTIF(Recipes!$B$3:$B$207,A110)</f>
        <v>1</v>
      </c>
      <c r="J110" s="8" t="n">
        <f aca="false">COUNTIF(Recipes!$E$3:$E$207,A110)+COUNTIF(Recipes!$G$3:$G$207,A110)</f>
        <v>1</v>
      </c>
      <c r="K110" s="10" t="str">
        <f aca="false">IF(COUNTIFS(Recipes!$B$3:$B$207,A110,Recipes!$I$3:$I$207,"&lt;&gt;simple")&gt;0,"YES","")</f>
        <v/>
      </c>
      <c r="L110" s="11" t="s">
        <v>311</v>
      </c>
    </row>
    <row r="111" customFormat="false" ht="15" hidden="false" customHeight="true" outlineLevel="0" collapsed="false">
      <c r="A111" s="3" t="s">
        <v>346</v>
      </c>
      <c r="B111" s="7" t="s">
        <v>347</v>
      </c>
      <c r="C111" s="5" t="n">
        <v>4</v>
      </c>
      <c r="D111" s="3"/>
      <c r="E111" s="7" t="s">
        <v>150</v>
      </c>
      <c r="F111" s="5" t="n">
        <v>2750</v>
      </c>
      <c r="G111" s="8" t="n">
        <f aca="false">VLOOKUP(C111,Tier_Constants!$A$3:$E$8,2,FALSE())</f>
        <v>180</v>
      </c>
      <c r="H111" s="9" t="n">
        <f aca="false">VLOOKUP(C111,Tier_Constants!$A$3:$E$8,3,FALSE())</f>
        <v>21.9</v>
      </c>
      <c r="I111" s="8" t="n">
        <f aca="false">COUNTIF(Recipes!$B$3:$B$207,A111)</f>
        <v>1</v>
      </c>
      <c r="J111" s="8" t="n">
        <f aca="false">COUNTIF(Recipes!$E$3:$E$207,A111)+COUNTIF(Recipes!$G$3:$G$207,A111)</f>
        <v>1</v>
      </c>
      <c r="K111" s="10" t="str">
        <f aca="false">IF(COUNTIFS(Recipes!$B$3:$B$207,A111,Recipes!$I$3:$I$207,"&lt;&gt;simple")&gt;0,"YES","")</f>
        <v/>
      </c>
      <c r="L111" s="11" t="s">
        <v>314</v>
      </c>
    </row>
    <row r="112" customFormat="false" ht="15" hidden="false" customHeight="true" outlineLevel="0" collapsed="false">
      <c r="A112" s="3" t="s">
        <v>348</v>
      </c>
      <c r="B112" s="7" t="s">
        <v>349</v>
      </c>
      <c r="C112" s="5" t="n">
        <v>4</v>
      </c>
      <c r="D112" s="3"/>
      <c r="E112" s="7" t="s">
        <v>36</v>
      </c>
      <c r="F112" s="5" t="n">
        <v>3150</v>
      </c>
      <c r="G112" s="8" t="n">
        <f aca="false">VLOOKUP(C112,Tier_Constants!$A$3:$E$8,2,FALSE())</f>
        <v>180</v>
      </c>
      <c r="H112" s="9" t="n">
        <f aca="false">VLOOKUP(C112,Tier_Constants!$A$3:$E$8,3,FALSE())</f>
        <v>21.9</v>
      </c>
      <c r="I112" s="8" t="n">
        <f aca="false">COUNTIF(Recipes!$B$3:$B$207,A112)</f>
        <v>1</v>
      </c>
      <c r="J112" s="8" t="n">
        <f aca="false">COUNTIF(Recipes!$E$3:$E$207,A112)+COUNTIF(Recipes!$G$3:$G$207,A112)</f>
        <v>1</v>
      </c>
      <c r="K112" s="10" t="str">
        <f aca="false">IF(COUNTIFS(Recipes!$B$3:$B$207,A112,Recipes!$I$3:$I$207,"&lt;&gt;simple")&gt;0,"YES","")</f>
        <v/>
      </c>
      <c r="L112" s="11" t="s">
        <v>317</v>
      </c>
    </row>
    <row r="113" customFormat="false" ht="26.25" hidden="false" customHeight="true" outlineLevel="0" collapsed="false">
      <c r="A113" s="3" t="s">
        <v>350</v>
      </c>
      <c r="B113" s="7" t="s">
        <v>351</v>
      </c>
      <c r="C113" s="5" t="n">
        <v>4</v>
      </c>
      <c r="D113" s="3"/>
      <c r="E113" s="7" t="s">
        <v>91</v>
      </c>
      <c r="F113" s="5" t="n">
        <v>3100</v>
      </c>
      <c r="G113" s="8" t="n">
        <f aca="false">VLOOKUP(C113,Tier_Constants!$A$3:$E$8,2,FALSE())</f>
        <v>180</v>
      </c>
      <c r="H113" s="9" t="n">
        <f aca="false">VLOOKUP(C113,Tier_Constants!$A$3:$E$8,3,FALSE())</f>
        <v>21.9</v>
      </c>
      <c r="I113" s="8" t="n">
        <f aca="false">COUNTIF(Recipes!$B$3:$B$207,A113)</f>
        <v>1</v>
      </c>
      <c r="J113" s="8" t="n">
        <f aca="false">COUNTIF(Recipes!$E$3:$E$207,A113)+COUNTIF(Recipes!$G$3:$G$207,A113)</f>
        <v>2</v>
      </c>
      <c r="K113" s="10" t="str">
        <f aca="false">IF(COUNTIFS(Recipes!$B$3:$B$207,A113,Recipes!$I$3:$I$207,"&lt;&gt;simple")&gt;0,"YES","")</f>
        <v/>
      </c>
      <c r="L113" s="11" t="s">
        <v>303</v>
      </c>
    </row>
    <row r="114" customFormat="false" ht="15" hidden="false" customHeight="true" outlineLevel="0" collapsed="false">
      <c r="A114" s="3" t="s">
        <v>352</v>
      </c>
      <c r="B114" s="7" t="s">
        <v>353</v>
      </c>
      <c r="C114" s="5" t="n">
        <v>4</v>
      </c>
      <c r="D114" s="3"/>
      <c r="E114" s="7" t="s">
        <v>310</v>
      </c>
      <c r="F114" s="5" t="n">
        <v>3500</v>
      </c>
      <c r="G114" s="8" t="n">
        <f aca="false">VLOOKUP(C114,Tier_Constants!$A$3:$E$8,2,FALSE())</f>
        <v>180</v>
      </c>
      <c r="H114" s="9" t="n">
        <f aca="false">VLOOKUP(C114,Tier_Constants!$A$3:$E$8,3,FALSE())</f>
        <v>21.9</v>
      </c>
      <c r="I114" s="8" t="n">
        <f aca="false">COUNTIF(Recipes!$B$3:$B$207,A114)</f>
        <v>5</v>
      </c>
      <c r="J114" s="8" t="n">
        <f aca="false">COUNTIF(Recipes!$E$3:$E$207,A114)+COUNTIF(Recipes!$G$3:$G$207,A114)</f>
        <v>2</v>
      </c>
      <c r="K114" s="10" t="str">
        <f aca="false">IF(COUNTIFS(Recipes!$B$3:$B$207,A114,Recipes!$I$3:$I$207,"&lt;&gt;simple")&gt;0,"YES","")</f>
        <v>YES</v>
      </c>
      <c r="L114" s="11" t="s">
        <v>307</v>
      </c>
    </row>
    <row r="115" customFormat="false" ht="15" hidden="false" customHeight="true" outlineLevel="0" collapsed="false">
      <c r="A115" s="3" t="s">
        <v>354</v>
      </c>
      <c r="B115" s="7" t="s">
        <v>355</v>
      </c>
      <c r="C115" s="5" t="n">
        <v>4</v>
      </c>
      <c r="D115" s="3"/>
      <c r="E115" s="7" t="s">
        <v>356</v>
      </c>
      <c r="F115" s="5" t="n">
        <v>2650</v>
      </c>
      <c r="G115" s="8" t="n">
        <f aca="false">VLOOKUP(C115,Tier_Constants!$A$3:$E$8,2,FALSE())</f>
        <v>180</v>
      </c>
      <c r="H115" s="9" t="n">
        <f aca="false">VLOOKUP(C115,Tier_Constants!$A$3:$E$8,3,FALSE())</f>
        <v>21.9</v>
      </c>
      <c r="I115" s="8" t="n">
        <f aca="false">COUNTIF(Recipes!$B$3:$B$207,A115)</f>
        <v>1</v>
      </c>
      <c r="J115" s="8" t="n">
        <f aca="false">COUNTIF(Recipes!$E$3:$E$207,A115)+COUNTIF(Recipes!$G$3:$G$207,A115)</f>
        <v>2</v>
      </c>
      <c r="K115" s="10" t="str">
        <f aca="false">IF(COUNTIFS(Recipes!$B$3:$B$207,A115,Recipes!$I$3:$I$207,"&lt;&gt;simple")&gt;0,"YES","")</f>
        <v/>
      </c>
      <c r="L115" s="11" t="s">
        <v>311</v>
      </c>
    </row>
    <row r="116" customFormat="false" ht="15" hidden="false" customHeight="true" outlineLevel="0" collapsed="false">
      <c r="A116" s="3" t="s">
        <v>357</v>
      </c>
      <c r="B116" s="7" t="s">
        <v>358</v>
      </c>
      <c r="C116" s="5" t="n">
        <v>4</v>
      </c>
      <c r="D116" s="3"/>
      <c r="E116" s="7" t="s">
        <v>94</v>
      </c>
      <c r="F116" s="5" t="n">
        <v>2850</v>
      </c>
      <c r="G116" s="8" t="n">
        <f aca="false">VLOOKUP(C116,Tier_Constants!$A$3:$E$8,2,FALSE())</f>
        <v>180</v>
      </c>
      <c r="H116" s="9" t="n">
        <f aca="false">VLOOKUP(C116,Tier_Constants!$A$3:$E$8,3,FALSE())</f>
        <v>21.9</v>
      </c>
      <c r="I116" s="8" t="n">
        <f aca="false">COUNTIF(Recipes!$B$3:$B$207,A116)</f>
        <v>1</v>
      </c>
      <c r="J116" s="8" t="n">
        <f aca="false">COUNTIF(Recipes!$E$3:$E$207,A116)+COUNTIF(Recipes!$G$3:$G$207,A116)</f>
        <v>2</v>
      </c>
      <c r="K116" s="10" t="str">
        <f aca="false">IF(COUNTIFS(Recipes!$B$3:$B$207,A116,Recipes!$I$3:$I$207,"&lt;&gt;simple")&gt;0,"YES","")</f>
        <v/>
      </c>
      <c r="L116" s="11" t="s">
        <v>314</v>
      </c>
    </row>
    <row r="117" customFormat="false" ht="15" hidden="false" customHeight="true" outlineLevel="0" collapsed="false">
      <c r="A117" s="3" t="s">
        <v>359</v>
      </c>
      <c r="B117" s="7" t="s">
        <v>360</v>
      </c>
      <c r="C117" s="5" t="n">
        <v>4</v>
      </c>
      <c r="D117" s="3"/>
      <c r="E117" s="7" t="s">
        <v>58</v>
      </c>
      <c r="F117" s="5" t="n">
        <v>2350</v>
      </c>
      <c r="G117" s="8" t="n">
        <f aca="false">VLOOKUP(C117,Tier_Constants!$A$3:$E$8,2,FALSE())</f>
        <v>180</v>
      </c>
      <c r="H117" s="9" t="n">
        <f aca="false">VLOOKUP(C117,Tier_Constants!$A$3:$E$8,3,FALSE())</f>
        <v>21.9</v>
      </c>
      <c r="I117" s="8" t="n">
        <f aca="false">COUNTIF(Recipes!$B$3:$B$207,A117)</f>
        <v>1</v>
      </c>
      <c r="J117" s="8" t="n">
        <f aca="false">COUNTIF(Recipes!$E$3:$E$207,A117)+COUNTIF(Recipes!$G$3:$G$207,A117)</f>
        <v>1</v>
      </c>
      <c r="K117" s="10" t="str">
        <f aca="false">IF(COUNTIFS(Recipes!$B$3:$B$207,A117,Recipes!$I$3:$I$207,"&lt;&gt;simple")&gt;0,"YES","")</f>
        <v/>
      </c>
      <c r="L117" s="11" t="s">
        <v>317</v>
      </c>
    </row>
    <row r="118" customFormat="false" ht="15" hidden="false" customHeight="true" outlineLevel="0" collapsed="false">
      <c r="A118" s="3" t="s">
        <v>361</v>
      </c>
      <c r="B118" s="7" t="s">
        <v>362</v>
      </c>
      <c r="C118" s="5" t="n">
        <v>5</v>
      </c>
      <c r="D118" s="3"/>
      <c r="E118" s="7" t="s">
        <v>40</v>
      </c>
      <c r="F118" s="5" t="n">
        <v>15000</v>
      </c>
      <c r="G118" s="8" t="n">
        <f aca="false">VLOOKUP(C118,Tier_Constants!$A$3:$E$8,2,FALSE())</f>
        <v>480</v>
      </c>
      <c r="H118" s="9" t="n">
        <f aca="false">VLOOKUP(C118,Tier_Constants!$A$3:$E$8,3,FALSE())</f>
        <v>30.7</v>
      </c>
      <c r="I118" s="8" t="n">
        <f aca="false">COUNTIF(Recipes!$B$3:$B$207,A118)</f>
        <v>2</v>
      </c>
      <c r="J118" s="8" t="n">
        <f aca="false">COUNTIF(Recipes!$E$3:$E$207,A118)+COUNTIF(Recipes!$G$3:$G$207,A118)</f>
        <v>1</v>
      </c>
      <c r="K118" s="10" t="str">
        <f aca="false">IF(COUNTIFS(Recipes!$B$3:$B$207,A118,Recipes!$I$3:$I$207,"&lt;&gt;simple")&gt;0,"YES","")</f>
        <v/>
      </c>
      <c r="L118" s="11" t="s">
        <v>363</v>
      </c>
    </row>
    <row r="119" customFormat="false" ht="15" hidden="false" customHeight="true" outlineLevel="0" collapsed="false">
      <c r="A119" s="3" t="s">
        <v>364</v>
      </c>
      <c r="B119" s="7" t="s">
        <v>365</v>
      </c>
      <c r="C119" s="5" t="n">
        <v>5</v>
      </c>
      <c r="D119" s="3"/>
      <c r="E119" s="7" t="s">
        <v>40</v>
      </c>
      <c r="F119" s="5" t="n">
        <v>16750</v>
      </c>
      <c r="G119" s="8" t="n">
        <f aca="false">VLOOKUP(C119,Tier_Constants!$A$3:$E$8,2,FALSE())</f>
        <v>480</v>
      </c>
      <c r="H119" s="9" t="n">
        <f aca="false">VLOOKUP(C119,Tier_Constants!$A$3:$E$8,3,FALSE())</f>
        <v>30.7</v>
      </c>
      <c r="I119" s="8" t="n">
        <f aca="false">COUNTIF(Recipes!$B$3:$B$207,A119)</f>
        <v>2</v>
      </c>
      <c r="J119" s="8" t="n">
        <f aca="false">COUNTIF(Recipes!$E$3:$E$207,A119)+COUNTIF(Recipes!$G$3:$G$207,A119)</f>
        <v>1</v>
      </c>
      <c r="K119" s="10" t="str">
        <f aca="false">IF(COUNTIFS(Recipes!$B$3:$B$207,A119,Recipes!$I$3:$I$207,"&lt;&gt;simple")&gt;0,"YES","")</f>
        <v/>
      </c>
      <c r="L119" s="11" t="s">
        <v>366</v>
      </c>
    </row>
    <row r="120" customFormat="false" ht="15" hidden="false" customHeight="true" outlineLevel="0" collapsed="false">
      <c r="A120" s="3" t="s">
        <v>367</v>
      </c>
      <c r="B120" s="7" t="s">
        <v>368</v>
      </c>
      <c r="C120" s="5" t="n">
        <v>5</v>
      </c>
      <c r="D120" s="3"/>
      <c r="E120" s="7" t="s">
        <v>310</v>
      </c>
      <c r="F120" s="5" t="n">
        <v>15250</v>
      </c>
      <c r="G120" s="8" t="n">
        <f aca="false">VLOOKUP(C120,Tier_Constants!$A$3:$E$8,2,FALSE())</f>
        <v>480</v>
      </c>
      <c r="H120" s="9" t="n">
        <f aca="false">VLOOKUP(C120,Tier_Constants!$A$3:$E$8,3,FALSE())</f>
        <v>30.7</v>
      </c>
      <c r="I120" s="8" t="n">
        <f aca="false">COUNTIF(Recipes!$B$3:$B$207,A120)</f>
        <v>2</v>
      </c>
      <c r="J120" s="8" t="n">
        <f aca="false">COUNTIF(Recipes!$E$3:$E$207,A120)+COUNTIF(Recipes!$G$3:$G$207,A120)</f>
        <v>1</v>
      </c>
      <c r="K120" s="10" t="str">
        <f aca="false">IF(COUNTIFS(Recipes!$B$3:$B$207,A120,Recipes!$I$3:$I$207,"&lt;&gt;simple")&gt;0,"YES","")</f>
        <v>YES</v>
      </c>
      <c r="L120" s="11" t="s">
        <v>369</v>
      </c>
    </row>
    <row r="121" customFormat="false" ht="15" hidden="false" customHeight="true" outlineLevel="0" collapsed="false">
      <c r="A121" s="3" t="s">
        <v>370</v>
      </c>
      <c r="B121" s="7" t="s">
        <v>371</v>
      </c>
      <c r="C121" s="5" t="n">
        <v>5</v>
      </c>
      <c r="D121" s="3"/>
      <c r="E121" s="7" t="s">
        <v>310</v>
      </c>
      <c r="F121" s="5" t="n">
        <v>12500</v>
      </c>
      <c r="G121" s="8" t="n">
        <f aca="false">VLOOKUP(C121,Tier_Constants!$A$3:$E$8,2,FALSE())</f>
        <v>480</v>
      </c>
      <c r="H121" s="9" t="n">
        <f aca="false">VLOOKUP(C121,Tier_Constants!$A$3:$E$8,3,FALSE())</f>
        <v>30.7</v>
      </c>
      <c r="I121" s="8" t="n">
        <f aca="false">COUNTIF(Recipes!$B$3:$B$207,A121)</f>
        <v>2</v>
      </c>
      <c r="J121" s="8" t="n">
        <f aca="false">COUNTIF(Recipes!$E$3:$E$207,A121)+COUNTIF(Recipes!$G$3:$G$207,A121)</f>
        <v>1</v>
      </c>
      <c r="K121" s="10" t="str">
        <f aca="false">IF(COUNTIFS(Recipes!$B$3:$B$207,A121,Recipes!$I$3:$I$207,"&lt;&gt;simple")&gt;0,"YES","")</f>
        <v>YES</v>
      </c>
      <c r="L121" s="11" t="s">
        <v>372</v>
      </c>
    </row>
    <row r="122" customFormat="false" ht="15" hidden="false" customHeight="true" outlineLevel="0" collapsed="false">
      <c r="A122" s="3" t="s">
        <v>373</v>
      </c>
      <c r="B122" s="7" t="s">
        <v>374</v>
      </c>
      <c r="C122" s="5" t="n">
        <v>5</v>
      </c>
      <c r="D122" s="3"/>
      <c r="E122" s="7" t="s">
        <v>310</v>
      </c>
      <c r="F122" s="5" t="n">
        <v>12000</v>
      </c>
      <c r="G122" s="8" t="n">
        <f aca="false">VLOOKUP(C122,Tier_Constants!$A$3:$E$8,2,FALSE())</f>
        <v>480</v>
      </c>
      <c r="H122" s="9" t="n">
        <f aca="false">VLOOKUP(C122,Tier_Constants!$A$3:$E$8,3,FALSE())</f>
        <v>30.7</v>
      </c>
      <c r="I122" s="8" t="n">
        <f aca="false">COUNTIF(Recipes!$B$3:$B$207,A122)</f>
        <v>2</v>
      </c>
      <c r="J122" s="8" t="n">
        <f aca="false">COUNTIF(Recipes!$E$3:$E$207,A122)+COUNTIF(Recipes!$G$3:$G$207,A122)</f>
        <v>1</v>
      </c>
      <c r="K122" s="10" t="str">
        <f aca="false">IF(COUNTIFS(Recipes!$B$3:$B$207,A122,Recipes!$I$3:$I$207,"&lt;&gt;simple")&gt;0,"YES","")</f>
        <v>YES</v>
      </c>
      <c r="L122" s="11" t="s">
        <v>375</v>
      </c>
    </row>
    <row r="123" customFormat="false" ht="15" hidden="false" customHeight="true" outlineLevel="0" collapsed="false">
      <c r="A123" s="3" t="s">
        <v>376</v>
      </c>
      <c r="B123" s="7" t="s">
        <v>377</v>
      </c>
      <c r="C123" s="5" t="n">
        <v>5</v>
      </c>
      <c r="D123" s="3"/>
      <c r="E123" s="7" t="s">
        <v>106</v>
      </c>
      <c r="F123" s="5" t="n">
        <v>18000</v>
      </c>
      <c r="G123" s="8" t="n">
        <f aca="false">VLOOKUP(C123,Tier_Constants!$A$3:$E$8,2,FALSE())</f>
        <v>480</v>
      </c>
      <c r="H123" s="9" t="n">
        <f aca="false">VLOOKUP(C123,Tier_Constants!$A$3:$E$8,3,FALSE())</f>
        <v>30.7</v>
      </c>
      <c r="I123" s="8" t="n">
        <f aca="false">COUNTIF(Recipes!$B$3:$B$207,A123)</f>
        <v>1</v>
      </c>
      <c r="J123" s="8" t="n">
        <f aca="false">COUNTIF(Recipes!$E$3:$E$207,A123)+COUNTIF(Recipes!$G$3:$G$207,A123)</f>
        <v>1</v>
      </c>
      <c r="K123" s="10" t="str">
        <f aca="false">IF(COUNTIFS(Recipes!$B$3:$B$207,A123,Recipes!$I$3:$I$207,"&lt;&gt;simple")&gt;0,"YES","")</f>
        <v/>
      </c>
      <c r="L123" s="11" t="s">
        <v>363</v>
      </c>
    </row>
    <row r="124" customFormat="false" ht="15" hidden="false" customHeight="true" outlineLevel="0" collapsed="false">
      <c r="A124" s="3" t="s">
        <v>378</v>
      </c>
      <c r="B124" s="7" t="s">
        <v>379</v>
      </c>
      <c r="C124" s="5" t="n">
        <v>5</v>
      </c>
      <c r="D124" s="3"/>
      <c r="E124" s="7" t="s">
        <v>310</v>
      </c>
      <c r="F124" s="5" t="n">
        <v>18750</v>
      </c>
      <c r="G124" s="8" t="n">
        <f aca="false">VLOOKUP(C124,Tier_Constants!$A$3:$E$8,2,FALSE())</f>
        <v>480</v>
      </c>
      <c r="H124" s="9" t="n">
        <f aca="false">VLOOKUP(C124,Tier_Constants!$A$3:$E$8,3,FALSE())</f>
        <v>30.7</v>
      </c>
      <c r="I124" s="8" t="n">
        <f aca="false">COUNTIF(Recipes!$B$3:$B$207,A124)</f>
        <v>2</v>
      </c>
      <c r="J124" s="8" t="n">
        <f aca="false">COUNTIF(Recipes!$E$3:$E$207,A124)+COUNTIF(Recipes!$G$3:$G$207,A124)</f>
        <v>1</v>
      </c>
      <c r="K124" s="10" t="str">
        <f aca="false">IF(COUNTIFS(Recipes!$B$3:$B$207,A124,Recipes!$I$3:$I$207,"&lt;&gt;simple")&gt;0,"YES","")</f>
        <v>YES</v>
      </c>
      <c r="L124" s="11" t="s">
        <v>366</v>
      </c>
    </row>
    <row r="125" customFormat="false" ht="15" hidden="false" customHeight="true" outlineLevel="0" collapsed="false">
      <c r="A125" s="3" t="s">
        <v>380</v>
      </c>
      <c r="B125" s="7" t="s">
        <v>381</v>
      </c>
      <c r="C125" s="5" t="n">
        <v>5</v>
      </c>
      <c r="D125" s="3"/>
      <c r="E125" s="7" t="s">
        <v>61</v>
      </c>
      <c r="F125" s="5" t="n">
        <v>18250</v>
      </c>
      <c r="G125" s="8" t="n">
        <f aca="false">VLOOKUP(C125,Tier_Constants!$A$3:$E$8,2,FALSE())</f>
        <v>480</v>
      </c>
      <c r="H125" s="9" t="n">
        <f aca="false">VLOOKUP(C125,Tier_Constants!$A$3:$E$8,3,FALSE())</f>
        <v>30.7</v>
      </c>
      <c r="I125" s="8" t="n">
        <f aca="false">COUNTIF(Recipes!$B$3:$B$207,A125)</f>
        <v>1</v>
      </c>
      <c r="J125" s="8" t="n">
        <f aca="false">COUNTIF(Recipes!$E$3:$E$207,A125)+COUNTIF(Recipes!$G$3:$G$207,A125)</f>
        <v>1</v>
      </c>
      <c r="K125" s="10" t="str">
        <f aca="false">IF(COUNTIFS(Recipes!$B$3:$B$207,A125,Recipes!$I$3:$I$207,"&lt;&gt;simple")&gt;0,"YES","")</f>
        <v/>
      </c>
      <c r="L125" s="11" t="s">
        <v>369</v>
      </c>
    </row>
    <row r="126" customFormat="false" ht="15" hidden="false" customHeight="true" outlineLevel="0" collapsed="false">
      <c r="A126" s="3" t="s">
        <v>382</v>
      </c>
      <c r="B126" s="7" t="s">
        <v>383</v>
      </c>
      <c r="C126" s="5" t="n">
        <v>5</v>
      </c>
      <c r="D126" s="3"/>
      <c r="E126" s="7" t="s">
        <v>280</v>
      </c>
      <c r="F126" s="5" t="n">
        <v>17000</v>
      </c>
      <c r="G126" s="8" t="n">
        <f aca="false">VLOOKUP(C126,Tier_Constants!$A$3:$E$8,2,FALSE())</f>
        <v>480</v>
      </c>
      <c r="H126" s="9" t="n">
        <f aca="false">VLOOKUP(C126,Tier_Constants!$A$3:$E$8,3,FALSE())</f>
        <v>30.7</v>
      </c>
      <c r="I126" s="8" t="n">
        <f aca="false">COUNTIF(Recipes!$B$3:$B$207,A126)</f>
        <v>1</v>
      </c>
      <c r="J126" s="8" t="n">
        <f aca="false">COUNTIF(Recipes!$E$3:$E$207,A126)+COUNTIF(Recipes!$G$3:$G$207,A126)</f>
        <v>1</v>
      </c>
      <c r="K126" s="10" t="str">
        <f aca="false">IF(COUNTIFS(Recipes!$B$3:$B$207,A126,Recipes!$I$3:$I$207,"&lt;&gt;simple")&gt;0,"YES","")</f>
        <v/>
      </c>
      <c r="L126" s="11" t="s">
        <v>372</v>
      </c>
    </row>
    <row r="127" customFormat="false" ht="15" hidden="false" customHeight="true" outlineLevel="0" collapsed="false">
      <c r="A127" s="3" t="s">
        <v>384</v>
      </c>
      <c r="B127" s="7" t="s">
        <v>385</v>
      </c>
      <c r="C127" s="5" t="n">
        <v>5</v>
      </c>
      <c r="D127" s="3"/>
      <c r="E127" s="7" t="s">
        <v>55</v>
      </c>
      <c r="F127" s="5" t="n">
        <v>12750</v>
      </c>
      <c r="G127" s="8" t="n">
        <f aca="false">VLOOKUP(C127,Tier_Constants!$A$3:$E$8,2,FALSE())</f>
        <v>480</v>
      </c>
      <c r="H127" s="9" t="n">
        <f aca="false">VLOOKUP(C127,Tier_Constants!$A$3:$E$8,3,FALSE())</f>
        <v>30.7</v>
      </c>
      <c r="I127" s="8" t="n">
        <f aca="false">COUNTIF(Recipes!$B$3:$B$207,A127)</f>
        <v>1</v>
      </c>
      <c r="J127" s="8" t="n">
        <f aca="false">COUNTIF(Recipes!$E$3:$E$207,A127)+COUNTIF(Recipes!$G$3:$G$207,A127)</f>
        <v>1</v>
      </c>
      <c r="K127" s="10" t="str">
        <f aca="false">IF(COUNTIFS(Recipes!$B$3:$B$207,A127,Recipes!$I$3:$I$207,"&lt;&gt;simple")&gt;0,"YES","")</f>
        <v/>
      </c>
      <c r="L127" s="11" t="s">
        <v>375</v>
      </c>
    </row>
    <row r="128" customFormat="false" ht="15" hidden="false" customHeight="true" outlineLevel="0" collapsed="false">
      <c r="A128" s="3" t="s">
        <v>386</v>
      </c>
      <c r="B128" s="7" t="s">
        <v>387</v>
      </c>
      <c r="C128" s="5" t="n">
        <v>5</v>
      </c>
      <c r="D128" s="3"/>
      <c r="E128" s="7" t="s">
        <v>310</v>
      </c>
      <c r="F128" s="5" t="n">
        <v>16250</v>
      </c>
      <c r="G128" s="8" t="n">
        <f aca="false">VLOOKUP(C128,Tier_Constants!$A$3:$E$8,2,FALSE())</f>
        <v>480</v>
      </c>
      <c r="H128" s="9" t="n">
        <f aca="false">VLOOKUP(C128,Tier_Constants!$A$3:$E$8,3,FALSE())</f>
        <v>30.7</v>
      </c>
      <c r="I128" s="8" t="n">
        <f aca="false">COUNTIF(Recipes!$B$3:$B$207,A128)</f>
        <v>2</v>
      </c>
      <c r="J128" s="8" t="n">
        <f aca="false">COUNTIF(Recipes!$E$3:$E$207,A128)+COUNTIF(Recipes!$G$3:$G$207,A128)</f>
        <v>1</v>
      </c>
      <c r="K128" s="10" t="str">
        <f aca="false">IF(COUNTIFS(Recipes!$B$3:$B$207,A128,Recipes!$I$3:$I$207,"&lt;&gt;simple")&gt;0,"YES","")</f>
        <v>YES</v>
      </c>
      <c r="L128" s="11" t="s">
        <v>363</v>
      </c>
    </row>
    <row r="129" customFormat="false" ht="15" hidden="false" customHeight="true" outlineLevel="0" collapsed="false">
      <c r="A129" s="3" t="s">
        <v>388</v>
      </c>
      <c r="B129" s="7" t="s">
        <v>389</v>
      </c>
      <c r="C129" s="5" t="n">
        <v>5</v>
      </c>
      <c r="D129" s="3"/>
      <c r="E129" s="7" t="s">
        <v>310</v>
      </c>
      <c r="F129" s="5" t="n">
        <v>17500</v>
      </c>
      <c r="G129" s="8" t="n">
        <f aca="false">VLOOKUP(C129,Tier_Constants!$A$3:$E$8,2,FALSE())</f>
        <v>480</v>
      </c>
      <c r="H129" s="9" t="n">
        <f aca="false">VLOOKUP(C129,Tier_Constants!$A$3:$E$8,3,FALSE())</f>
        <v>30.7</v>
      </c>
      <c r="I129" s="8" t="n">
        <f aca="false">COUNTIF(Recipes!$B$3:$B$207,A129)</f>
        <v>2</v>
      </c>
      <c r="J129" s="8" t="n">
        <f aca="false">COUNTIF(Recipes!$E$3:$E$207,A129)+COUNTIF(Recipes!$G$3:$G$207,A129)</f>
        <v>1</v>
      </c>
      <c r="K129" s="10" t="str">
        <f aca="false">IF(COUNTIFS(Recipes!$B$3:$B$207,A129,Recipes!$I$3:$I$207,"&lt;&gt;simple")&gt;0,"YES","")</f>
        <v>YES</v>
      </c>
      <c r="L129" s="11" t="s">
        <v>366</v>
      </c>
    </row>
    <row r="130" customFormat="false" ht="15" hidden="false" customHeight="true" outlineLevel="0" collapsed="false">
      <c r="A130" s="3" t="s">
        <v>390</v>
      </c>
      <c r="B130" s="7" t="s">
        <v>391</v>
      </c>
      <c r="C130" s="5" t="n">
        <v>5</v>
      </c>
      <c r="D130" s="3"/>
      <c r="E130" s="7" t="s">
        <v>310</v>
      </c>
      <c r="F130" s="5" t="n">
        <v>19250</v>
      </c>
      <c r="G130" s="8" t="n">
        <f aca="false">VLOOKUP(C130,Tier_Constants!$A$3:$E$8,2,FALSE())</f>
        <v>480</v>
      </c>
      <c r="H130" s="9" t="n">
        <f aca="false">VLOOKUP(C130,Tier_Constants!$A$3:$E$8,3,FALSE())</f>
        <v>30.7</v>
      </c>
      <c r="I130" s="8" t="n">
        <f aca="false">COUNTIF(Recipes!$B$3:$B$207,A130)</f>
        <v>2</v>
      </c>
      <c r="J130" s="8" t="n">
        <f aca="false">COUNTIF(Recipes!$E$3:$E$207,A130)+COUNTIF(Recipes!$G$3:$G$207,A130)</f>
        <v>1</v>
      </c>
      <c r="K130" s="10" t="str">
        <f aca="false">IF(COUNTIFS(Recipes!$B$3:$B$207,A130,Recipes!$I$3:$I$207,"&lt;&gt;simple")&gt;0,"YES","")</f>
        <v>YES</v>
      </c>
      <c r="L130" s="11" t="s">
        <v>369</v>
      </c>
    </row>
    <row r="131" customFormat="false" ht="15" hidden="false" customHeight="true" outlineLevel="0" collapsed="false">
      <c r="A131" s="3" t="s">
        <v>392</v>
      </c>
      <c r="B131" s="7" t="s">
        <v>393</v>
      </c>
      <c r="C131" s="5" t="n">
        <v>5</v>
      </c>
      <c r="D131" s="3"/>
      <c r="E131" s="7" t="s">
        <v>310</v>
      </c>
      <c r="F131" s="5" t="n">
        <v>14500</v>
      </c>
      <c r="G131" s="8" t="n">
        <f aca="false">VLOOKUP(C131,Tier_Constants!$A$3:$E$8,2,FALSE())</f>
        <v>480</v>
      </c>
      <c r="H131" s="9" t="n">
        <f aca="false">VLOOKUP(C131,Tier_Constants!$A$3:$E$8,3,FALSE())</f>
        <v>30.7</v>
      </c>
      <c r="I131" s="8" t="n">
        <f aca="false">COUNTIF(Recipes!$B$3:$B$207,A131)</f>
        <v>2</v>
      </c>
      <c r="J131" s="8" t="n">
        <f aca="false">COUNTIF(Recipes!$E$3:$E$207,A131)+COUNTIF(Recipes!$G$3:$G$207,A131)</f>
        <v>1</v>
      </c>
      <c r="K131" s="10" t="str">
        <f aca="false">IF(COUNTIFS(Recipes!$B$3:$B$207,A131,Recipes!$I$3:$I$207,"&lt;&gt;simple")&gt;0,"YES","")</f>
        <v>YES</v>
      </c>
      <c r="L131" s="11" t="s">
        <v>372</v>
      </c>
    </row>
    <row r="132" customFormat="false" ht="15" hidden="false" customHeight="true" outlineLevel="0" collapsed="false">
      <c r="A132" s="3" t="s">
        <v>394</v>
      </c>
      <c r="B132" s="7" t="s">
        <v>395</v>
      </c>
      <c r="C132" s="5" t="n">
        <v>5</v>
      </c>
      <c r="D132" s="3"/>
      <c r="E132" s="7" t="s">
        <v>306</v>
      </c>
      <c r="F132" s="5" t="n">
        <v>15750</v>
      </c>
      <c r="G132" s="8" t="n">
        <f aca="false">VLOOKUP(C132,Tier_Constants!$A$3:$E$8,2,FALSE())</f>
        <v>480</v>
      </c>
      <c r="H132" s="9" t="n">
        <f aca="false">VLOOKUP(C132,Tier_Constants!$A$3:$E$8,3,FALSE())</f>
        <v>30.7</v>
      </c>
      <c r="I132" s="8" t="n">
        <f aca="false">COUNTIF(Recipes!$B$3:$B$207,A132)</f>
        <v>1</v>
      </c>
      <c r="J132" s="8" t="n">
        <f aca="false">COUNTIF(Recipes!$E$3:$E$207,A132)+COUNTIF(Recipes!$G$3:$G$207,A132)</f>
        <v>1</v>
      </c>
      <c r="K132" s="10" t="str">
        <f aca="false">IF(COUNTIFS(Recipes!$B$3:$B$207,A132,Recipes!$I$3:$I$207,"&lt;&gt;simple")&gt;0,"YES","")</f>
        <v/>
      </c>
      <c r="L132" s="11" t="s">
        <v>375</v>
      </c>
    </row>
    <row r="133" customFormat="false" ht="15" hidden="false" customHeight="true" outlineLevel="0" collapsed="false">
      <c r="A133" s="3" t="s">
        <v>396</v>
      </c>
      <c r="B133" s="7" t="s">
        <v>397</v>
      </c>
      <c r="C133" s="5" t="n">
        <v>5</v>
      </c>
      <c r="D133" s="3"/>
      <c r="E133" s="7" t="s">
        <v>88</v>
      </c>
      <c r="F133" s="5" t="n">
        <v>20000</v>
      </c>
      <c r="G133" s="8" t="n">
        <f aca="false">VLOOKUP(C133,Tier_Constants!$A$3:$E$8,2,FALSE())</f>
        <v>480</v>
      </c>
      <c r="H133" s="9" t="n">
        <f aca="false">VLOOKUP(C133,Tier_Constants!$A$3:$E$8,3,FALSE())</f>
        <v>30.7</v>
      </c>
      <c r="I133" s="8" t="n">
        <f aca="false">COUNTIF(Recipes!$B$3:$B$207,A133)</f>
        <v>1</v>
      </c>
      <c r="J133" s="8" t="n">
        <f aca="false">COUNTIF(Recipes!$E$3:$E$207,A133)+COUNTIF(Recipes!$G$3:$G$207,A133)</f>
        <v>1</v>
      </c>
      <c r="K133" s="10" t="str">
        <f aca="false">IF(COUNTIFS(Recipes!$B$3:$B$207,A133,Recipes!$I$3:$I$207,"&lt;&gt;simple")&gt;0,"YES","")</f>
        <v/>
      </c>
      <c r="L133" s="11" t="s">
        <v>363</v>
      </c>
    </row>
    <row r="134" customFormat="false" ht="15" hidden="false" customHeight="true" outlineLevel="0" collapsed="false">
      <c r="A134" s="3" t="s">
        <v>398</v>
      </c>
      <c r="B134" s="7" t="s">
        <v>399</v>
      </c>
      <c r="C134" s="5" t="n">
        <v>5</v>
      </c>
      <c r="D134" s="3"/>
      <c r="E134" s="7" t="s">
        <v>400</v>
      </c>
      <c r="F134" s="5" t="n">
        <v>13250</v>
      </c>
      <c r="G134" s="8" t="n">
        <f aca="false">VLOOKUP(C134,Tier_Constants!$A$3:$E$8,2,FALSE())</f>
        <v>480</v>
      </c>
      <c r="H134" s="9" t="n">
        <f aca="false">VLOOKUP(C134,Tier_Constants!$A$3:$E$8,3,FALSE())</f>
        <v>30.7</v>
      </c>
      <c r="I134" s="8" t="n">
        <f aca="false">COUNTIF(Recipes!$B$3:$B$207,A134)</f>
        <v>1</v>
      </c>
      <c r="J134" s="8" t="n">
        <f aca="false">COUNTIF(Recipes!$E$3:$E$207,A134)+COUNTIF(Recipes!$G$3:$G$207,A134)</f>
        <v>1</v>
      </c>
      <c r="K134" s="10" t="str">
        <f aca="false">IF(COUNTIFS(Recipes!$B$3:$B$207,A134,Recipes!$I$3:$I$207,"&lt;&gt;simple")&gt;0,"YES","")</f>
        <v/>
      </c>
      <c r="L134" s="11" t="s">
        <v>366</v>
      </c>
    </row>
    <row r="135" customFormat="false" ht="15" hidden="false" customHeight="true" outlineLevel="0" collapsed="false">
      <c r="A135" s="3" t="s">
        <v>401</v>
      </c>
      <c r="B135" s="7" t="s">
        <v>402</v>
      </c>
      <c r="C135" s="5" t="n">
        <v>5</v>
      </c>
      <c r="D135" s="3"/>
      <c r="E135" s="7" t="s">
        <v>64</v>
      </c>
      <c r="F135" s="5" t="n">
        <v>14000</v>
      </c>
      <c r="G135" s="8" t="n">
        <f aca="false">VLOOKUP(C135,Tier_Constants!$A$3:$E$8,2,FALSE())</f>
        <v>480</v>
      </c>
      <c r="H135" s="9" t="n">
        <f aca="false">VLOOKUP(C135,Tier_Constants!$A$3:$E$8,3,FALSE())</f>
        <v>30.7</v>
      </c>
      <c r="I135" s="8" t="n">
        <f aca="false">COUNTIF(Recipes!$B$3:$B$207,A135)</f>
        <v>1</v>
      </c>
      <c r="J135" s="8" t="n">
        <f aca="false">COUNTIF(Recipes!$E$3:$E$207,A135)+COUNTIF(Recipes!$G$3:$G$207,A135)</f>
        <v>1</v>
      </c>
      <c r="K135" s="10" t="str">
        <f aca="false">IF(COUNTIFS(Recipes!$B$3:$B$207,A135,Recipes!$I$3:$I$207,"&lt;&gt;simple")&gt;0,"YES","")</f>
        <v/>
      </c>
      <c r="L135" s="11" t="s">
        <v>369</v>
      </c>
    </row>
    <row r="136" customFormat="false" ht="15" hidden="false" customHeight="true" outlineLevel="0" collapsed="false">
      <c r="A136" s="3" t="s">
        <v>403</v>
      </c>
      <c r="B136" s="7" t="s">
        <v>404</v>
      </c>
      <c r="C136" s="5" t="n">
        <v>5</v>
      </c>
      <c r="D136" s="3"/>
      <c r="E136" s="7" t="s">
        <v>310</v>
      </c>
      <c r="F136" s="5" t="n">
        <v>19500</v>
      </c>
      <c r="G136" s="8" t="n">
        <f aca="false">VLOOKUP(C136,Tier_Constants!$A$3:$E$8,2,FALSE())</f>
        <v>480</v>
      </c>
      <c r="H136" s="9" t="n">
        <f aca="false">VLOOKUP(C136,Tier_Constants!$A$3:$E$8,3,FALSE())</f>
        <v>30.7</v>
      </c>
      <c r="I136" s="8" t="n">
        <f aca="false">COUNTIF(Recipes!$B$3:$B$207,A136)</f>
        <v>1</v>
      </c>
      <c r="J136" s="8" t="n">
        <f aca="false">COUNTIF(Recipes!$E$3:$E$207,A136)+COUNTIF(Recipes!$G$3:$G$207,A136)</f>
        <v>1</v>
      </c>
      <c r="K136" s="10" t="str">
        <f aca="false">IF(COUNTIFS(Recipes!$B$3:$B$207,A136,Recipes!$I$3:$I$207,"&lt;&gt;simple")&gt;0,"YES","")</f>
        <v/>
      </c>
      <c r="L136" s="11" t="s">
        <v>372</v>
      </c>
    </row>
    <row r="137" customFormat="false" ht="15" hidden="false" customHeight="true" outlineLevel="0" collapsed="false">
      <c r="A137" s="3" t="s">
        <v>405</v>
      </c>
      <c r="B137" s="7" t="s">
        <v>406</v>
      </c>
      <c r="C137" s="5" t="n">
        <v>5</v>
      </c>
      <c r="D137" s="3"/>
      <c r="E137" s="7" t="s">
        <v>310</v>
      </c>
      <c r="F137" s="5" t="n">
        <v>13750</v>
      </c>
      <c r="G137" s="8" t="n">
        <f aca="false">VLOOKUP(C137,Tier_Constants!$A$3:$E$8,2,FALSE())</f>
        <v>480</v>
      </c>
      <c r="H137" s="9" t="n">
        <f aca="false">VLOOKUP(C137,Tier_Constants!$A$3:$E$8,3,FALSE())</f>
        <v>30.7</v>
      </c>
      <c r="I137" s="8" t="n">
        <f aca="false">COUNTIF(Recipes!$B$3:$B$207,A137)</f>
        <v>1</v>
      </c>
      <c r="J137" s="8" t="n">
        <f aca="false">COUNTIF(Recipes!$E$3:$E$207,A137)+COUNTIF(Recipes!$G$3:$G$207,A137)</f>
        <v>1</v>
      </c>
      <c r="K137" s="10" t="str">
        <f aca="false">IF(COUNTIFS(Recipes!$B$3:$B$207,A137,Recipes!$I$3:$I$207,"&lt;&gt;simple")&gt;0,"YES","")</f>
        <v/>
      </c>
      <c r="L137" s="11" t="s">
        <v>375</v>
      </c>
    </row>
    <row r="138" customFormat="false" ht="15" hidden="false" customHeight="true" outlineLevel="0" collapsed="false">
      <c r="A138" s="3" t="s">
        <v>407</v>
      </c>
      <c r="B138" s="7" t="s">
        <v>408</v>
      </c>
      <c r="C138" s="5" t="n">
        <v>6</v>
      </c>
      <c r="D138" s="3"/>
      <c r="E138" s="7" t="s">
        <v>310</v>
      </c>
      <c r="F138" s="5" t="n">
        <v>66000</v>
      </c>
      <c r="G138" s="8" t="n">
        <f aca="false">VLOOKUP(C138,Tier_Constants!$A$3:$E$8,2,FALSE())</f>
        <v>1440</v>
      </c>
      <c r="H138" s="9" t="n">
        <f aca="false">VLOOKUP(C138,Tier_Constants!$A$3:$E$8,3,FALSE())</f>
        <v>43</v>
      </c>
      <c r="I138" s="8" t="n">
        <f aca="false">COUNTIF(Recipes!$B$3:$B$207,A138)</f>
        <v>1</v>
      </c>
      <c r="J138" s="8" t="n">
        <f aca="false">COUNTIF(Recipes!$E$3:$E$207,A138)+COUNTIF(Recipes!$G$3:$G$207,A138)</f>
        <v>0</v>
      </c>
      <c r="K138" s="10" t="str">
        <f aca="false">IF(COUNTIFS(Recipes!$B$3:$B$207,A138,Recipes!$I$3:$I$207,"&lt;&gt;simple")&gt;0,"YES","")</f>
        <v/>
      </c>
      <c r="L138" s="11" t="s">
        <v>409</v>
      </c>
    </row>
    <row r="139" customFormat="false" ht="26.25" hidden="false" customHeight="true" outlineLevel="0" collapsed="false">
      <c r="A139" s="3" t="s">
        <v>410</v>
      </c>
      <c r="B139" s="7" t="s">
        <v>411</v>
      </c>
      <c r="C139" s="5" t="n">
        <v>6</v>
      </c>
      <c r="D139" s="3"/>
      <c r="E139" s="7" t="s">
        <v>310</v>
      </c>
      <c r="F139" s="5" t="n">
        <v>80000</v>
      </c>
      <c r="G139" s="8" t="n">
        <f aca="false">VLOOKUP(C139,Tier_Constants!$A$3:$E$8,2,FALSE())</f>
        <v>1440</v>
      </c>
      <c r="H139" s="9" t="n">
        <f aca="false">VLOOKUP(C139,Tier_Constants!$A$3:$E$8,3,FALSE())</f>
        <v>43</v>
      </c>
      <c r="I139" s="8" t="n">
        <f aca="false">COUNTIF(Recipes!$B$3:$B$207,A139)</f>
        <v>1</v>
      </c>
      <c r="J139" s="8" t="n">
        <f aca="false">COUNTIF(Recipes!$E$3:$E$207,A139)+COUNTIF(Recipes!$G$3:$G$207,A139)</f>
        <v>0</v>
      </c>
      <c r="K139" s="10" t="str">
        <f aca="false">IF(COUNTIFS(Recipes!$B$3:$B$207,A139,Recipes!$I$3:$I$207,"&lt;&gt;simple")&gt;0,"YES","")</f>
        <v/>
      </c>
      <c r="L139" s="11" t="s">
        <v>412</v>
      </c>
    </row>
    <row r="140" customFormat="false" ht="26.25" hidden="false" customHeight="true" outlineLevel="0" collapsed="false">
      <c r="A140" s="3" t="s">
        <v>413</v>
      </c>
      <c r="B140" s="7" t="s">
        <v>414</v>
      </c>
      <c r="C140" s="5" t="n">
        <v>6</v>
      </c>
      <c r="D140" s="3"/>
      <c r="E140" s="7" t="s">
        <v>310</v>
      </c>
      <c r="F140" s="5" t="n">
        <v>97000</v>
      </c>
      <c r="G140" s="8" t="n">
        <f aca="false">VLOOKUP(C140,Tier_Constants!$A$3:$E$8,2,FALSE())</f>
        <v>1440</v>
      </c>
      <c r="H140" s="9" t="n">
        <f aca="false">VLOOKUP(C140,Tier_Constants!$A$3:$E$8,3,FALSE())</f>
        <v>43</v>
      </c>
      <c r="I140" s="8" t="n">
        <f aca="false">COUNTIF(Recipes!$B$3:$B$207,A140)</f>
        <v>1</v>
      </c>
      <c r="J140" s="8" t="n">
        <f aca="false">COUNTIF(Recipes!$E$3:$E$207,A140)+COUNTIF(Recipes!$G$3:$G$207,A140)</f>
        <v>0</v>
      </c>
      <c r="K140" s="10" t="str">
        <f aca="false">IF(COUNTIFS(Recipes!$B$3:$B$207,A140,Recipes!$I$3:$I$207,"&lt;&gt;simple")&gt;0,"YES","")</f>
        <v/>
      </c>
      <c r="L140" s="11" t="s">
        <v>415</v>
      </c>
    </row>
    <row r="141" customFormat="false" ht="26.25" hidden="false" customHeight="true" outlineLevel="0" collapsed="false">
      <c r="A141" s="3" t="s">
        <v>416</v>
      </c>
      <c r="B141" s="7" t="s">
        <v>417</v>
      </c>
      <c r="C141" s="5" t="n">
        <v>6</v>
      </c>
      <c r="D141" s="3"/>
      <c r="E141" s="7" t="s">
        <v>310</v>
      </c>
      <c r="F141" s="5" t="n">
        <v>83000</v>
      </c>
      <c r="G141" s="8" t="n">
        <f aca="false">VLOOKUP(C141,Tier_Constants!$A$3:$E$8,2,FALSE())</f>
        <v>1440</v>
      </c>
      <c r="H141" s="9" t="n">
        <f aca="false">VLOOKUP(C141,Tier_Constants!$A$3:$E$8,3,FALSE())</f>
        <v>43</v>
      </c>
      <c r="I141" s="8" t="n">
        <f aca="false">COUNTIF(Recipes!$B$3:$B$207,A141)</f>
        <v>1</v>
      </c>
      <c r="J141" s="8" t="n">
        <f aca="false">COUNTIF(Recipes!$E$3:$E$207,A141)+COUNTIF(Recipes!$G$3:$G$207,A141)</f>
        <v>0</v>
      </c>
      <c r="K141" s="10" t="str">
        <f aca="false">IF(COUNTIFS(Recipes!$B$3:$B$207,A141,Recipes!$I$3:$I$207,"&lt;&gt;simple")&gt;0,"YES","")</f>
        <v/>
      </c>
      <c r="L141" s="11" t="s">
        <v>418</v>
      </c>
    </row>
    <row r="142" customFormat="false" ht="15" hidden="false" customHeight="true" outlineLevel="0" collapsed="false">
      <c r="A142" s="3" t="s">
        <v>419</v>
      </c>
      <c r="B142" s="7" t="s">
        <v>420</v>
      </c>
      <c r="C142" s="5" t="n">
        <v>6</v>
      </c>
      <c r="D142" s="3"/>
      <c r="E142" s="7" t="s">
        <v>310</v>
      </c>
      <c r="F142" s="5" t="n">
        <v>63000</v>
      </c>
      <c r="G142" s="8" t="n">
        <f aca="false">VLOOKUP(C142,Tier_Constants!$A$3:$E$8,2,FALSE())</f>
        <v>1440</v>
      </c>
      <c r="H142" s="9" t="n">
        <f aca="false">VLOOKUP(C142,Tier_Constants!$A$3:$E$8,3,FALSE())</f>
        <v>43</v>
      </c>
      <c r="I142" s="8" t="n">
        <f aca="false">COUNTIF(Recipes!$B$3:$B$207,A142)</f>
        <v>1</v>
      </c>
      <c r="J142" s="8" t="n">
        <f aca="false">COUNTIF(Recipes!$E$3:$E$207,A142)+COUNTIF(Recipes!$G$3:$G$207,A142)</f>
        <v>0</v>
      </c>
      <c r="K142" s="10" t="str">
        <f aca="false">IF(COUNTIFS(Recipes!$B$3:$B$207,A142,Recipes!$I$3:$I$207,"&lt;&gt;simple")&gt;0,"YES","")</f>
        <v/>
      </c>
      <c r="L142" s="11" t="s">
        <v>421</v>
      </c>
    </row>
    <row r="143" customFormat="false" ht="15" hidden="false" customHeight="true" outlineLevel="0" collapsed="false">
      <c r="A143" s="3" t="s">
        <v>422</v>
      </c>
      <c r="B143" s="7" t="s">
        <v>423</v>
      </c>
      <c r="C143" s="5" t="n">
        <v>6</v>
      </c>
      <c r="D143" s="3"/>
      <c r="E143" s="7" t="s">
        <v>310</v>
      </c>
      <c r="F143" s="5" t="n">
        <v>86000</v>
      </c>
      <c r="G143" s="8" t="n">
        <f aca="false">VLOOKUP(C143,Tier_Constants!$A$3:$E$8,2,FALSE())</f>
        <v>1440</v>
      </c>
      <c r="H143" s="9" t="n">
        <f aca="false">VLOOKUP(C143,Tier_Constants!$A$3:$E$8,3,FALSE())</f>
        <v>43</v>
      </c>
      <c r="I143" s="8" t="n">
        <f aca="false">COUNTIF(Recipes!$B$3:$B$207,A143)</f>
        <v>1</v>
      </c>
      <c r="J143" s="8" t="n">
        <f aca="false">COUNTIF(Recipes!$E$3:$E$207,A143)+COUNTIF(Recipes!$G$3:$G$207,A143)</f>
        <v>0</v>
      </c>
      <c r="K143" s="10" t="str">
        <f aca="false">IF(COUNTIFS(Recipes!$B$3:$B$207,A143,Recipes!$I$3:$I$207,"&lt;&gt;simple")&gt;0,"YES","")</f>
        <v/>
      </c>
      <c r="L143" s="11" t="s">
        <v>409</v>
      </c>
    </row>
    <row r="144" customFormat="false" ht="26.25" hidden="false" customHeight="true" outlineLevel="0" collapsed="false">
      <c r="A144" s="3" t="s">
        <v>424</v>
      </c>
      <c r="B144" s="7" t="s">
        <v>425</v>
      </c>
      <c r="C144" s="5" t="n">
        <v>6</v>
      </c>
      <c r="D144" s="3"/>
      <c r="E144" s="7" t="s">
        <v>310</v>
      </c>
      <c r="F144" s="5" t="n">
        <v>74000</v>
      </c>
      <c r="G144" s="8" t="n">
        <f aca="false">VLOOKUP(C144,Tier_Constants!$A$3:$E$8,2,FALSE())</f>
        <v>1440</v>
      </c>
      <c r="H144" s="9" t="n">
        <f aca="false">VLOOKUP(C144,Tier_Constants!$A$3:$E$8,3,FALSE())</f>
        <v>43</v>
      </c>
      <c r="I144" s="8" t="n">
        <f aca="false">COUNTIF(Recipes!$B$3:$B$207,A144)</f>
        <v>1</v>
      </c>
      <c r="J144" s="8" t="n">
        <f aca="false">COUNTIF(Recipes!$E$3:$E$207,A144)+COUNTIF(Recipes!$G$3:$G$207,A144)</f>
        <v>0</v>
      </c>
      <c r="K144" s="10" t="str">
        <f aca="false">IF(COUNTIFS(Recipes!$B$3:$B$207,A144,Recipes!$I$3:$I$207,"&lt;&gt;simple")&gt;0,"YES","")</f>
        <v/>
      </c>
      <c r="L144" s="11" t="s">
        <v>412</v>
      </c>
    </row>
    <row r="145" customFormat="false" ht="26.25" hidden="false" customHeight="true" outlineLevel="0" collapsed="false">
      <c r="A145" s="3" t="s">
        <v>426</v>
      </c>
      <c r="B145" s="7" t="s">
        <v>427</v>
      </c>
      <c r="C145" s="5" t="n">
        <v>6</v>
      </c>
      <c r="D145" s="3"/>
      <c r="E145" s="7" t="s">
        <v>310</v>
      </c>
      <c r="F145" s="5" t="n">
        <v>89000</v>
      </c>
      <c r="G145" s="8" t="n">
        <f aca="false">VLOOKUP(C145,Tier_Constants!$A$3:$E$8,2,FALSE())</f>
        <v>1440</v>
      </c>
      <c r="H145" s="9" t="n">
        <f aca="false">VLOOKUP(C145,Tier_Constants!$A$3:$E$8,3,FALSE())</f>
        <v>43</v>
      </c>
      <c r="I145" s="8" t="n">
        <f aca="false">COUNTIF(Recipes!$B$3:$B$207,A145)</f>
        <v>1</v>
      </c>
      <c r="J145" s="8" t="n">
        <f aca="false">COUNTIF(Recipes!$E$3:$E$207,A145)+COUNTIF(Recipes!$G$3:$G$207,A145)</f>
        <v>0</v>
      </c>
      <c r="K145" s="10" t="str">
        <f aca="false">IF(COUNTIFS(Recipes!$B$3:$B$207,A145,Recipes!$I$3:$I$207,"&lt;&gt;simple")&gt;0,"YES","")</f>
        <v/>
      </c>
      <c r="L145" s="11" t="s">
        <v>415</v>
      </c>
    </row>
    <row r="146" customFormat="false" ht="26.25" hidden="false" customHeight="true" outlineLevel="0" collapsed="false">
      <c r="A146" s="3" t="s">
        <v>428</v>
      </c>
      <c r="B146" s="7" t="s">
        <v>429</v>
      </c>
      <c r="C146" s="5" t="n">
        <v>6</v>
      </c>
      <c r="D146" s="3"/>
      <c r="E146" s="7" t="s">
        <v>310</v>
      </c>
      <c r="F146" s="5" t="n">
        <v>91000</v>
      </c>
      <c r="G146" s="8" t="n">
        <f aca="false">VLOOKUP(C146,Tier_Constants!$A$3:$E$8,2,FALSE())</f>
        <v>1440</v>
      </c>
      <c r="H146" s="9" t="n">
        <f aca="false">VLOOKUP(C146,Tier_Constants!$A$3:$E$8,3,FALSE())</f>
        <v>43</v>
      </c>
      <c r="I146" s="8" t="n">
        <f aca="false">COUNTIF(Recipes!$B$3:$B$207,A146)</f>
        <v>1</v>
      </c>
      <c r="J146" s="8" t="n">
        <f aca="false">COUNTIF(Recipes!$E$3:$E$207,A146)+COUNTIF(Recipes!$G$3:$G$207,A146)</f>
        <v>0</v>
      </c>
      <c r="K146" s="10" t="str">
        <f aca="false">IF(COUNTIFS(Recipes!$B$3:$B$207,A146,Recipes!$I$3:$I$207,"&lt;&gt;simple")&gt;0,"YES","")</f>
        <v/>
      </c>
      <c r="L146" s="11" t="s">
        <v>418</v>
      </c>
    </row>
    <row r="147" customFormat="false" ht="15" hidden="false" customHeight="true" outlineLevel="0" collapsed="false">
      <c r="A147" s="3" t="s">
        <v>430</v>
      </c>
      <c r="B147" s="7" t="s">
        <v>431</v>
      </c>
      <c r="C147" s="5" t="n">
        <v>6</v>
      </c>
      <c r="D147" s="3"/>
      <c r="E147" s="7" t="s">
        <v>310</v>
      </c>
      <c r="F147" s="5" t="n">
        <v>77000</v>
      </c>
      <c r="G147" s="8" t="n">
        <f aca="false">VLOOKUP(C147,Tier_Constants!$A$3:$E$8,2,FALSE())</f>
        <v>1440</v>
      </c>
      <c r="H147" s="9" t="n">
        <f aca="false">VLOOKUP(C147,Tier_Constants!$A$3:$E$8,3,FALSE())</f>
        <v>43</v>
      </c>
      <c r="I147" s="8" t="n">
        <f aca="false">COUNTIF(Recipes!$B$3:$B$207,A147)</f>
        <v>1</v>
      </c>
      <c r="J147" s="8" t="n">
        <f aca="false">COUNTIF(Recipes!$E$3:$E$207,A147)+COUNTIF(Recipes!$G$3:$G$207,A147)</f>
        <v>0</v>
      </c>
      <c r="K147" s="10" t="str">
        <f aca="false">IF(COUNTIFS(Recipes!$B$3:$B$207,A147,Recipes!$I$3:$I$207,"&lt;&gt;simple")&gt;0,"YES","")</f>
        <v/>
      </c>
      <c r="L147" s="11" t="s">
        <v>421</v>
      </c>
    </row>
    <row r="148" customFormat="false" ht="15" hidden="false" customHeight="true" outlineLevel="0" collapsed="false">
      <c r="A148" s="3" t="s">
        <v>432</v>
      </c>
      <c r="B148" s="7" t="s">
        <v>433</v>
      </c>
      <c r="C148" s="5" t="n">
        <v>6</v>
      </c>
      <c r="D148" s="3"/>
      <c r="E148" s="7" t="s">
        <v>310</v>
      </c>
      <c r="F148" s="5" t="n">
        <v>60000</v>
      </c>
      <c r="G148" s="8" t="n">
        <f aca="false">VLOOKUP(C148,Tier_Constants!$A$3:$E$8,2,FALSE())</f>
        <v>1440</v>
      </c>
      <c r="H148" s="9" t="n">
        <f aca="false">VLOOKUP(C148,Tier_Constants!$A$3:$E$8,3,FALSE())</f>
        <v>43</v>
      </c>
      <c r="I148" s="8" t="n">
        <f aca="false">COUNTIF(Recipes!$B$3:$B$207,A148)</f>
        <v>1</v>
      </c>
      <c r="J148" s="8" t="n">
        <f aca="false">COUNTIF(Recipes!$E$3:$E$207,A148)+COUNTIF(Recipes!$G$3:$G$207,A148)</f>
        <v>0</v>
      </c>
      <c r="K148" s="10" t="str">
        <f aca="false">IF(COUNTIFS(Recipes!$B$3:$B$207,A148,Recipes!$I$3:$I$207,"&lt;&gt;simple")&gt;0,"YES","")</f>
        <v/>
      </c>
      <c r="L148" s="11" t="s">
        <v>409</v>
      </c>
    </row>
    <row r="149" customFormat="false" ht="26.25" hidden="false" customHeight="true" outlineLevel="0" collapsed="false">
      <c r="A149" s="3" t="s">
        <v>434</v>
      </c>
      <c r="B149" s="7" t="s">
        <v>435</v>
      </c>
      <c r="C149" s="5" t="n">
        <v>6</v>
      </c>
      <c r="D149" s="3"/>
      <c r="E149" s="7" t="s">
        <v>310</v>
      </c>
      <c r="F149" s="5" t="n">
        <v>71000</v>
      </c>
      <c r="G149" s="8" t="n">
        <f aca="false">VLOOKUP(C149,Tier_Constants!$A$3:$E$8,2,FALSE())</f>
        <v>1440</v>
      </c>
      <c r="H149" s="9" t="n">
        <f aca="false">VLOOKUP(C149,Tier_Constants!$A$3:$E$8,3,FALSE())</f>
        <v>43</v>
      </c>
      <c r="I149" s="8" t="n">
        <f aca="false">COUNTIF(Recipes!$B$3:$B$207,A149)</f>
        <v>1</v>
      </c>
      <c r="J149" s="8" t="n">
        <f aca="false">COUNTIF(Recipes!$E$3:$E$207,A149)+COUNTIF(Recipes!$G$3:$G$207,A149)</f>
        <v>0</v>
      </c>
      <c r="K149" s="10" t="str">
        <f aca="false">IF(COUNTIFS(Recipes!$B$3:$B$207,A149,Recipes!$I$3:$I$207,"&lt;&gt;simple")&gt;0,"YES","")</f>
        <v/>
      </c>
      <c r="L149" s="11" t="s">
        <v>412</v>
      </c>
    </row>
    <row r="150" customFormat="false" ht="26.25" hidden="false" customHeight="true" outlineLevel="0" collapsed="false">
      <c r="A150" s="3" t="s">
        <v>436</v>
      </c>
      <c r="B150" s="7" t="s">
        <v>437</v>
      </c>
      <c r="C150" s="5" t="n">
        <v>6</v>
      </c>
      <c r="D150" s="3"/>
      <c r="E150" s="7" t="s">
        <v>310</v>
      </c>
      <c r="F150" s="5" t="n">
        <v>100000</v>
      </c>
      <c r="G150" s="8" t="n">
        <f aca="false">VLOOKUP(C150,Tier_Constants!$A$3:$E$8,2,FALSE())</f>
        <v>1440</v>
      </c>
      <c r="H150" s="9" t="n">
        <f aca="false">VLOOKUP(C150,Tier_Constants!$A$3:$E$8,3,FALSE())</f>
        <v>43</v>
      </c>
      <c r="I150" s="8" t="n">
        <f aca="false">COUNTIF(Recipes!$B$3:$B$207,A150)</f>
        <v>1</v>
      </c>
      <c r="J150" s="8" t="n">
        <f aca="false">COUNTIF(Recipes!$E$3:$E$207,A150)+COUNTIF(Recipes!$G$3:$G$207,A150)</f>
        <v>0</v>
      </c>
      <c r="K150" s="10" t="str">
        <f aca="false">IF(COUNTIFS(Recipes!$B$3:$B$207,A150,Recipes!$I$3:$I$207,"&lt;&gt;simple")&gt;0,"YES","")</f>
        <v/>
      </c>
      <c r="L150" s="11" t="s">
        <v>415</v>
      </c>
    </row>
    <row r="151" customFormat="false" ht="26.25" hidden="false" customHeight="true" outlineLevel="0" collapsed="false">
      <c r="A151" s="3" t="s">
        <v>438</v>
      </c>
      <c r="B151" s="7" t="s">
        <v>439</v>
      </c>
      <c r="C151" s="5" t="n">
        <v>6</v>
      </c>
      <c r="D151" s="3"/>
      <c r="E151" s="7" t="s">
        <v>310</v>
      </c>
      <c r="F151" s="5" t="n">
        <v>94000</v>
      </c>
      <c r="G151" s="8" t="n">
        <f aca="false">VLOOKUP(C151,Tier_Constants!$A$3:$E$8,2,FALSE())</f>
        <v>1440</v>
      </c>
      <c r="H151" s="9" t="n">
        <f aca="false">VLOOKUP(C151,Tier_Constants!$A$3:$E$8,3,FALSE())</f>
        <v>43</v>
      </c>
      <c r="I151" s="8" t="n">
        <f aca="false">COUNTIF(Recipes!$B$3:$B$207,A151)</f>
        <v>1</v>
      </c>
      <c r="J151" s="8" t="n">
        <f aca="false">COUNTIF(Recipes!$E$3:$E$207,A151)+COUNTIF(Recipes!$G$3:$G$207,A151)</f>
        <v>0</v>
      </c>
      <c r="K151" s="10" t="str">
        <f aca="false">IF(COUNTIFS(Recipes!$B$3:$B$207,A151,Recipes!$I$3:$I$207,"&lt;&gt;simple")&gt;0,"YES","")</f>
        <v/>
      </c>
      <c r="L151" s="11" t="s">
        <v>418</v>
      </c>
    </row>
    <row r="152" customFormat="false" ht="15" hidden="false" customHeight="true" outlineLevel="0" collapsed="false">
      <c r="A152" s="3" t="s">
        <v>440</v>
      </c>
      <c r="B152" s="7" t="s">
        <v>441</v>
      </c>
      <c r="C152" s="5" t="n">
        <v>6</v>
      </c>
      <c r="D152" s="3"/>
      <c r="E152" s="7" t="s">
        <v>310</v>
      </c>
      <c r="F152" s="5" t="n">
        <v>69000</v>
      </c>
      <c r="G152" s="8" t="n">
        <f aca="false">VLOOKUP(C152,Tier_Constants!$A$3:$E$8,2,FALSE())</f>
        <v>1440</v>
      </c>
      <c r="H152" s="9" t="n">
        <f aca="false">VLOOKUP(C152,Tier_Constants!$A$3:$E$8,3,FALSE())</f>
        <v>43</v>
      </c>
      <c r="I152" s="8" t="n">
        <f aca="false">COUNTIF(Recipes!$B$3:$B$207,A152)</f>
        <v>1</v>
      </c>
      <c r="J152" s="8" t="n">
        <f aca="false">COUNTIF(Recipes!$E$3:$E$207,A152)+COUNTIF(Recipes!$G$3:$G$207,A152)</f>
        <v>0</v>
      </c>
      <c r="K152" s="10" t="str">
        <f aca="false">IF(COUNTIFS(Recipes!$B$3:$B$207,A152,Recipes!$I$3:$I$207,"&lt;&gt;simple")&gt;0,"YES","")</f>
        <v/>
      </c>
      <c r="L152" s="11" t="s">
        <v>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9"/>
    <col collapsed="false" customWidth="true" hidden="false" outlineLevel="0" max="3" min="3" style="1" width="24"/>
    <col collapsed="false" customWidth="true" hidden="false" outlineLevel="0" max="4" min="4" style="1" width="10"/>
    <col collapsed="false" customWidth="true" hidden="false" outlineLevel="0" max="5" min="5" style="1" width="9"/>
    <col collapsed="false" customWidth="true" hidden="false" outlineLevel="0" max="6" min="6" style="1" width="24"/>
    <col collapsed="false" customWidth="true" hidden="false" outlineLevel="0" max="7" min="7" style="1" width="9"/>
    <col collapsed="false" customWidth="true" hidden="false" outlineLevel="0" max="8" min="8" style="1" width="24"/>
    <col collapsed="false" customWidth="true" hidden="false" outlineLevel="0" max="9" min="9" style="1" width="17"/>
    <col collapsed="false" customWidth="true" hidden="false" outlineLevel="0" max="11" min="10" style="1" width="13"/>
  </cols>
  <sheetData>
    <row r="1" customFormat="false" ht="15" hidden="false" customHeight="true" outlineLevel="0" collapsed="false">
      <c r="A1" s="2" t="s">
        <v>442</v>
      </c>
    </row>
    <row r="2" customFormat="false" ht="26.25" hidden="false" customHeight="true" outlineLevel="0" collapsed="false">
      <c r="A2" s="4" t="s">
        <v>443</v>
      </c>
      <c r="B2" s="4" t="s">
        <v>444</v>
      </c>
      <c r="C2" s="4" t="s">
        <v>445</v>
      </c>
      <c r="D2" s="4" t="s">
        <v>446</v>
      </c>
      <c r="E2" s="4" t="s">
        <v>447</v>
      </c>
      <c r="F2" s="4" t="s">
        <v>448</v>
      </c>
      <c r="G2" s="4" t="s">
        <v>449</v>
      </c>
      <c r="H2" s="4" t="s">
        <v>450</v>
      </c>
      <c r="I2" s="4" t="s">
        <v>451</v>
      </c>
      <c r="J2" s="4" t="s">
        <v>452</v>
      </c>
      <c r="K2" s="4" t="s">
        <v>453</v>
      </c>
    </row>
    <row r="3" customFormat="false" ht="15" hidden="false" customHeight="true" outlineLevel="0" collapsed="false">
      <c r="A3" s="3" t="s">
        <v>454</v>
      </c>
      <c r="B3" s="7" t="s">
        <v>124</v>
      </c>
      <c r="C3" s="10" t="str">
        <f aca="false">VLOOKUP(B3,Compounds!$A$3:$B$152,2,FALSE())</f>
        <v>Zinc Titanate</v>
      </c>
      <c r="D3" s="8" t="n">
        <f aca="false">VLOOKUP(B3,Compounds!$A$3:$C$152,3,FALSE())</f>
        <v>2</v>
      </c>
      <c r="E3" s="7" t="s">
        <v>38</v>
      </c>
      <c r="F3" s="10" t="str">
        <f aca="false">VLOOKUP(E3,Compounds!$A$3:$B$152,2,FALSE())</f>
        <v>Zinc Sulfate</v>
      </c>
      <c r="G3" s="7" t="s">
        <v>62</v>
      </c>
      <c r="H3" s="10" t="str">
        <f aca="false">VLOOKUP(G3,Compounds!$A$3:$B$152,2,FALSE())</f>
        <v>Titanium Dioxide</v>
      </c>
      <c r="I3" s="7" t="s">
        <v>455</v>
      </c>
      <c r="J3" s="7"/>
      <c r="K3" s="7" t="s">
        <v>456</v>
      </c>
    </row>
    <row r="4" customFormat="false" ht="15" hidden="false" customHeight="true" outlineLevel="0" collapsed="false">
      <c r="A4" s="3" t="s">
        <v>457</v>
      </c>
      <c r="B4" s="7" t="s">
        <v>131</v>
      </c>
      <c r="C4" s="10" t="str">
        <f aca="false">VLOOKUP(B4,Compounds!$A$3:$B$152,2,FALSE())</f>
        <v>Calcium Silicate</v>
      </c>
      <c r="D4" s="8" t="n">
        <f aca="false">VLOOKUP(B4,Compounds!$A$3:$C$152,3,FALSE())</f>
        <v>2</v>
      </c>
      <c r="E4" s="7" t="s">
        <v>34</v>
      </c>
      <c r="F4" s="10" t="str">
        <f aca="false">VLOOKUP(E4,Compounds!$A$3:$B$152,2,FALSE())</f>
        <v>Calcium Oxide</v>
      </c>
      <c r="G4" s="7" t="s">
        <v>59</v>
      </c>
      <c r="H4" s="10" t="str">
        <f aca="false">VLOOKUP(G4,Compounds!$A$3:$B$152,2,FALSE())</f>
        <v>Silicon Dioxide</v>
      </c>
      <c r="I4" s="7" t="s">
        <v>455</v>
      </c>
      <c r="J4" s="7"/>
      <c r="K4" s="7" t="s">
        <v>456</v>
      </c>
    </row>
    <row r="5" customFormat="false" ht="15" hidden="false" customHeight="true" outlineLevel="0" collapsed="false">
      <c r="A5" s="3" t="s">
        <v>458</v>
      </c>
      <c r="B5" s="7" t="s">
        <v>135</v>
      </c>
      <c r="C5" s="10" t="str">
        <f aca="false">VLOOKUP(B5,Compounds!$A$3:$B$152,2,FALSE())</f>
        <v>Sodium Aluminate</v>
      </c>
      <c r="D5" s="8" t="n">
        <f aca="false">VLOOKUP(B5,Compounds!$A$3:$C$152,3,FALSE())</f>
        <v>2</v>
      </c>
      <c r="E5" s="7" t="s">
        <v>29</v>
      </c>
      <c r="F5" s="10" t="str">
        <f aca="false">VLOOKUP(E5,Compounds!$A$3:$B$152,2,FALSE())</f>
        <v>Sodium Chloride</v>
      </c>
      <c r="G5" s="7" t="s">
        <v>56</v>
      </c>
      <c r="H5" s="10" t="str">
        <f aca="false">VLOOKUP(G5,Compounds!$A$3:$B$152,2,FALSE())</f>
        <v>Aluminum Oxide</v>
      </c>
      <c r="I5" s="7" t="s">
        <v>455</v>
      </c>
      <c r="J5" s="7"/>
      <c r="K5" s="7" t="s">
        <v>456</v>
      </c>
    </row>
    <row r="6" customFormat="false" ht="15" hidden="false" customHeight="true" outlineLevel="0" collapsed="false">
      <c r="A6" s="3" t="s">
        <v>459</v>
      </c>
      <c r="B6" s="7" t="s">
        <v>142</v>
      </c>
      <c r="C6" s="10" t="str">
        <f aca="false">VLOOKUP(B6,Compounds!$A$3:$B$152,2,FALSE())</f>
        <v>Iron Phosphate</v>
      </c>
      <c r="D6" s="8" t="n">
        <f aca="false">VLOOKUP(B6,Compounds!$A$3:$C$152,3,FALSE())</f>
        <v>2</v>
      </c>
      <c r="E6" s="7" t="s">
        <v>42</v>
      </c>
      <c r="F6" s="10" t="str">
        <f aca="false">VLOOKUP(E6,Compounds!$A$3:$B$152,2,FALSE())</f>
        <v>Iron Acetate</v>
      </c>
      <c r="G6" s="7" t="s">
        <v>121</v>
      </c>
      <c r="H6" s="10" t="str">
        <f aca="false">VLOOKUP(G6,Compounds!$A$3:$B$152,2,FALSE())</f>
        <v>Sodium Phosphate</v>
      </c>
      <c r="I6" s="7" t="s">
        <v>455</v>
      </c>
      <c r="J6" s="7"/>
      <c r="K6" s="7" t="s">
        <v>456</v>
      </c>
    </row>
    <row r="7" customFormat="false" ht="15" hidden="false" customHeight="true" outlineLevel="0" collapsed="false">
      <c r="A7" s="3" t="s">
        <v>460</v>
      </c>
      <c r="B7" s="7" t="s">
        <v>145</v>
      </c>
      <c r="C7" s="10" t="str">
        <f aca="false">VLOOKUP(B7,Compounds!$A$3:$B$152,2,FALSE())</f>
        <v>Magnesium Titanate</v>
      </c>
      <c r="D7" s="8" t="n">
        <f aca="false">VLOOKUP(B7,Compounds!$A$3:$C$152,3,FALSE())</f>
        <v>2</v>
      </c>
      <c r="E7" s="7" t="s">
        <v>50</v>
      </c>
      <c r="F7" s="10" t="str">
        <f aca="false">VLOOKUP(E7,Compounds!$A$3:$B$152,2,FALSE())</f>
        <v>Magnesium Chloride</v>
      </c>
      <c r="G7" s="7" t="s">
        <v>62</v>
      </c>
      <c r="H7" s="10" t="str">
        <f aca="false">VLOOKUP(G7,Compounds!$A$3:$B$152,2,FALSE())</f>
        <v>Titanium Dioxide</v>
      </c>
      <c r="I7" s="7" t="s">
        <v>455</v>
      </c>
      <c r="J7" s="7"/>
      <c r="K7" s="7" t="s">
        <v>456</v>
      </c>
    </row>
    <row r="8" customFormat="false" ht="15" hidden="false" customHeight="true" outlineLevel="0" collapsed="false">
      <c r="A8" s="3" t="s">
        <v>461</v>
      </c>
      <c r="B8" s="7" t="s">
        <v>148</v>
      </c>
      <c r="C8" s="10" t="str">
        <f aca="false">VLOOKUP(B8,Compounds!$A$3:$B$152,2,FALSE())</f>
        <v>Barium Titanate</v>
      </c>
      <c r="D8" s="8" t="n">
        <f aca="false">VLOOKUP(B8,Compounds!$A$3:$C$152,3,FALSE())</f>
        <v>2</v>
      </c>
      <c r="E8" s="7" t="s">
        <v>62</v>
      </c>
      <c r="F8" s="10" t="str">
        <f aca="false">VLOOKUP(E8,Compounds!$A$3:$B$152,2,FALSE())</f>
        <v>Titanium Dioxide</v>
      </c>
      <c r="G8" s="7" t="s">
        <v>74</v>
      </c>
      <c r="H8" s="10" t="str">
        <f aca="false">VLOOKUP(G8,Compounds!$A$3:$B$152,2,FALSE())</f>
        <v>Barium Carbonate</v>
      </c>
      <c r="I8" s="7" t="s">
        <v>455</v>
      </c>
      <c r="J8" s="7"/>
      <c r="K8" s="7" t="s">
        <v>456</v>
      </c>
    </row>
    <row r="9" customFormat="false" ht="15" hidden="false" customHeight="true" outlineLevel="0" collapsed="false">
      <c r="A9" s="3" t="s">
        <v>462</v>
      </c>
      <c r="B9" s="7" t="s">
        <v>151</v>
      </c>
      <c r="C9" s="10" t="str">
        <f aca="false">VLOOKUP(B9,Compounds!$A$3:$B$152,2,FALSE())</f>
        <v>Lithium Phosphate</v>
      </c>
      <c r="D9" s="8" t="n">
        <f aca="false">VLOOKUP(B9,Compounds!$A$3:$C$152,3,FALSE())</f>
        <v>2</v>
      </c>
      <c r="E9" s="7" t="s">
        <v>80</v>
      </c>
      <c r="F9" s="10" t="str">
        <f aca="false">VLOOKUP(E9,Compounds!$A$3:$B$152,2,FALSE())</f>
        <v>Lithium Carbonate</v>
      </c>
      <c r="G9" s="7" t="s">
        <v>121</v>
      </c>
      <c r="H9" s="10" t="str">
        <f aca="false">VLOOKUP(G9,Compounds!$A$3:$B$152,2,FALSE())</f>
        <v>Sodium Phosphate</v>
      </c>
      <c r="I9" s="7" t="s">
        <v>455</v>
      </c>
      <c r="J9" s="7"/>
      <c r="K9" s="7" t="s">
        <v>456</v>
      </c>
    </row>
    <row r="10" customFormat="false" ht="15" hidden="false" customHeight="true" outlineLevel="0" collapsed="false">
      <c r="A10" s="3" t="s">
        <v>463</v>
      </c>
      <c r="B10" s="7" t="s">
        <v>158</v>
      </c>
      <c r="C10" s="10" t="str">
        <f aca="false">VLOOKUP(B10,Compounds!$A$3:$B$152,2,FALSE())</f>
        <v>Manganese Ferrite</v>
      </c>
      <c r="D10" s="8" t="n">
        <f aca="false">VLOOKUP(B10,Compounds!$A$3:$C$152,3,FALSE())</f>
        <v>2</v>
      </c>
      <c r="E10" s="7" t="s">
        <v>42</v>
      </c>
      <c r="F10" s="10" t="str">
        <f aca="false">VLOOKUP(E10,Compounds!$A$3:$B$152,2,FALSE())</f>
        <v>Iron Acetate</v>
      </c>
      <c r="G10" s="7" t="s">
        <v>65</v>
      </c>
      <c r="H10" s="10" t="str">
        <f aca="false">VLOOKUP(G10,Compounds!$A$3:$B$152,2,FALSE())</f>
        <v>Manganese Dioxide</v>
      </c>
      <c r="I10" s="7" t="s">
        <v>455</v>
      </c>
      <c r="J10" s="7"/>
      <c r="K10" s="7" t="s">
        <v>456</v>
      </c>
    </row>
    <row r="11" customFormat="false" ht="15" hidden="false" customHeight="true" outlineLevel="0" collapsed="false">
      <c r="A11" s="3" t="s">
        <v>464</v>
      </c>
      <c r="B11" s="7" t="s">
        <v>161</v>
      </c>
      <c r="C11" s="10" t="str">
        <f aca="false">VLOOKUP(B11,Compounds!$A$3:$B$152,2,FALSE())</f>
        <v>Zinc Ferrite</v>
      </c>
      <c r="D11" s="8" t="n">
        <f aca="false">VLOOKUP(B11,Compounds!$A$3:$C$152,3,FALSE())</f>
        <v>2</v>
      </c>
      <c r="E11" s="7" t="s">
        <v>38</v>
      </c>
      <c r="F11" s="10" t="str">
        <f aca="false">VLOOKUP(E11,Compounds!$A$3:$B$152,2,FALSE())</f>
        <v>Zinc Sulfate</v>
      </c>
      <c r="G11" s="7" t="s">
        <v>42</v>
      </c>
      <c r="H11" s="10" t="str">
        <f aca="false">VLOOKUP(G11,Compounds!$A$3:$B$152,2,FALSE())</f>
        <v>Iron Acetate</v>
      </c>
      <c r="I11" s="7" t="s">
        <v>455</v>
      </c>
      <c r="J11" s="7"/>
      <c r="K11" s="7" t="s">
        <v>456</v>
      </c>
    </row>
    <row r="12" customFormat="false" ht="15" hidden="false" customHeight="true" outlineLevel="0" collapsed="false">
      <c r="A12" s="3" t="s">
        <v>465</v>
      </c>
      <c r="B12" s="7" t="s">
        <v>170</v>
      </c>
      <c r="C12" s="10" t="str">
        <f aca="false">VLOOKUP(B12,Compounds!$A$3:$B$152,2,FALSE())</f>
        <v>Potassium Silicate</v>
      </c>
      <c r="D12" s="8" t="n">
        <f aca="false">VLOOKUP(B12,Compounds!$A$3:$C$152,3,FALSE())</f>
        <v>2</v>
      </c>
      <c r="E12" s="7" t="s">
        <v>46</v>
      </c>
      <c r="F12" s="10" t="str">
        <f aca="false">VLOOKUP(E12,Compounds!$A$3:$B$152,2,FALSE())</f>
        <v>Potassium Iodide</v>
      </c>
      <c r="G12" s="7" t="s">
        <v>98</v>
      </c>
      <c r="H12" s="10" t="str">
        <f aca="false">VLOOKUP(G12,Compounds!$A$3:$B$152,2,FALSE())</f>
        <v>Zirconium Silicate</v>
      </c>
      <c r="I12" s="7" t="s">
        <v>455</v>
      </c>
      <c r="J12" s="7"/>
      <c r="K12" s="7" t="s">
        <v>456</v>
      </c>
    </row>
    <row r="13" customFormat="false" ht="15" hidden="false" customHeight="true" outlineLevel="0" collapsed="false">
      <c r="A13" s="3" t="s">
        <v>466</v>
      </c>
      <c r="B13" s="7" t="s">
        <v>173</v>
      </c>
      <c r="C13" s="10" t="str">
        <f aca="false">VLOOKUP(B13,Compounds!$A$3:$B$152,2,FALSE())</f>
        <v>Copper Aluminate</v>
      </c>
      <c r="D13" s="8" t="n">
        <f aca="false">VLOOKUP(B13,Compounds!$A$3:$C$152,3,FALSE())</f>
        <v>2</v>
      </c>
      <c r="E13" s="7" t="s">
        <v>53</v>
      </c>
      <c r="F13" s="10" t="str">
        <f aca="false">VLOOKUP(E13,Compounds!$A$3:$B$152,2,FALSE())</f>
        <v>Copper Sulfate</v>
      </c>
      <c r="G13" s="7" t="s">
        <v>56</v>
      </c>
      <c r="H13" s="10" t="str">
        <f aca="false">VLOOKUP(G13,Compounds!$A$3:$B$152,2,FALSE())</f>
        <v>Aluminum Oxide</v>
      </c>
      <c r="I13" s="7" t="s">
        <v>455</v>
      </c>
      <c r="J13" s="7"/>
      <c r="K13" s="7" t="s">
        <v>456</v>
      </c>
    </row>
    <row r="14" customFormat="false" ht="15" hidden="false" customHeight="true" outlineLevel="0" collapsed="false">
      <c r="A14" s="3" t="s">
        <v>467</v>
      </c>
      <c r="B14" s="7" t="s">
        <v>176</v>
      </c>
      <c r="C14" s="10" t="str">
        <f aca="false">VLOOKUP(B14,Compounds!$A$3:$B$152,2,FALSE())</f>
        <v>Iron Silicide</v>
      </c>
      <c r="D14" s="8" t="n">
        <f aca="false">VLOOKUP(B14,Compounds!$A$3:$C$152,3,FALSE())</f>
        <v>2</v>
      </c>
      <c r="E14" s="7" t="s">
        <v>42</v>
      </c>
      <c r="F14" s="10" t="str">
        <f aca="false">VLOOKUP(E14,Compounds!$A$3:$B$152,2,FALSE())</f>
        <v>Iron Acetate</v>
      </c>
      <c r="G14" s="7" t="s">
        <v>59</v>
      </c>
      <c r="H14" s="10" t="str">
        <f aca="false">VLOOKUP(G14,Compounds!$A$3:$B$152,2,FALSE())</f>
        <v>Silicon Dioxide</v>
      </c>
      <c r="I14" s="7" t="s">
        <v>455</v>
      </c>
      <c r="J14" s="7"/>
      <c r="K14" s="7" t="s">
        <v>456</v>
      </c>
    </row>
    <row r="15" customFormat="false" ht="15" hidden="false" customHeight="true" outlineLevel="0" collapsed="false">
      <c r="A15" s="3" t="s">
        <v>468</v>
      </c>
      <c r="B15" s="7" t="s">
        <v>179</v>
      </c>
      <c r="C15" s="10" t="str">
        <f aca="false">VLOOKUP(B15,Compounds!$A$3:$B$152,2,FALSE())</f>
        <v>Magnesium Borate</v>
      </c>
      <c r="D15" s="8" t="n">
        <f aca="false">VLOOKUP(B15,Compounds!$A$3:$C$152,3,FALSE())</f>
        <v>2</v>
      </c>
      <c r="E15" s="7" t="s">
        <v>50</v>
      </c>
      <c r="F15" s="10" t="str">
        <f aca="false">VLOOKUP(E15,Compounds!$A$3:$B$152,2,FALSE())</f>
        <v>Magnesium Chloride</v>
      </c>
      <c r="G15" s="7" t="s">
        <v>116</v>
      </c>
      <c r="H15" s="10" t="str">
        <f aca="false">VLOOKUP(G15,Compounds!$A$3:$B$152,2,FALSE())</f>
        <v>Sodium Borate</v>
      </c>
      <c r="I15" s="7" t="s">
        <v>455</v>
      </c>
      <c r="J15" s="7"/>
      <c r="K15" s="7" t="s">
        <v>456</v>
      </c>
    </row>
    <row r="16" customFormat="false" ht="15" hidden="false" customHeight="true" outlineLevel="0" collapsed="false">
      <c r="A16" s="3" t="s">
        <v>469</v>
      </c>
      <c r="B16" s="7" t="s">
        <v>182</v>
      </c>
      <c r="C16" s="10" t="str">
        <f aca="false">VLOOKUP(B16,Compounds!$A$3:$B$152,2,FALSE())</f>
        <v>Calcium Zirconate</v>
      </c>
      <c r="D16" s="8" t="n">
        <f aca="false">VLOOKUP(B16,Compounds!$A$3:$C$152,3,FALSE())</f>
        <v>2</v>
      </c>
      <c r="E16" s="7" t="s">
        <v>98</v>
      </c>
      <c r="F16" s="10" t="str">
        <f aca="false">VLOOKUP(E16,Compounds!$A$3:$B$152,2,FALSE())</f>
        <v>Zirconium Silicate</v>
      </c>
      <c r="G16" s="7" t="s">
        <v>119</v>
      </c>
      <c r="H16" s="10" t="str">
        <f aca="false">VLOOKUP(G16,Compounds!$A$3:$B$152,2,FALSE())</f>
        <v>Calcium Fluoride</v>
      </c>
      <c r="I16" s="7" t="s">
        <v>455</v>
      </c>
      <c r="J16" s="7"/>
      <c r="K16" s="7" t="s">
        <v>456</v>
      </c>
    </row>
    <row r="17" customFormat="false" ht="15" hidden="false" customHeight="true" outlineLevel="0" collapsed="false">
      <c r="A17" s="3" t="s">
        <v>470</v>
      </c>
      <c r="B17" s="7" t="s">
        <v>185</v>
      </c>
      <c r="C17" s="10" t="str">
        <f aca="false">VLOOKUP(B17,Compounds!$A$3:$B$152,2,FALSE())</f>
        <v>Strontium Titanate</v>
      </c>
      <c r="D17" s="8" t="n">
        <f aca="false">VLOOKUP(B17,Compounds!$A$3:$C$152,3,FALSE())</f>
        <v>2</v>
      </c>
      <c r="E17" s="7" t="s">
        <v>62</v>
      </c>
      <c r="F17" s="10" t="str">
        <f aca="false">VLOOKUP(E17,Compounds!$A$3:$B$152,2,FALSE())</f>
        <v>Titanium Dioxide</v>
      </c>
      <c r="G17" s="7" t="s">
        <v>77</v>
      </c>
      <c r="H17" s="10" t="str">
        <f aca="false">VLOOKUP(G17,Compounds!$A$3:$B$152,2,FALSE())</f>
        <v>Strontium Carbonate</v>
      </c>
      <c r="I17" s="7" t="s">
        <v>455</v>
      </c>
      <c r="J17" s="7"/>
      <c r="K17" s="7" t="s">
        <v>456</v>
      </c>
    </row>
    <row r="18" customFormat="false" ht="15" hidden="false" customHeight="true" outlineLevel="0" collapsed="false">
      <c r="A18" s="3" t="s">
        <v>471</v>
      </c>
      <c r="B18" s="7" t="s">
        <v>188</v>
      </c>
      <c r="C18" s="10" t="str">
        <f aca="false">VLOOKUP(B18,Compounds!$A$3:$B$152,2,FALSE())</f>
        <v>Lithium Niobate</v>
      </c>
      <c r="D18" s="8" t="n">
        <f aca="false">VLOOKUP(B18,Compounds!$A$3:$C$152,3,FALSE())</f>
        <v>2</v>
      </c>
      <c r="E18" s="7" t="s">
        <v>80</v>
      </c>
      <c r="F18" s="10" t="str">
        <f aca="false">VLOOKUP(E18,Compounds!$A$3:$B$152,2,FALSE())</f>
        <v>Lithium Carbonate</v>
      </c>
      <c r="G18" s="7" t="s">
        <v>101</v>
      </c>
      <c r="H18" s="10" t="str">
        <f aca="false">VLOOKUP(G18,Compounds!$A$3:$B$152,2,FALSE())</f>
        <v>Niobium Pentoxide</v>
      </c>
      <c r="I18" s="7" t="s">
        <v>455</v>
      </c>
      <c r="J18" s="7"/>
      <c r="K18" s="7" t="s">
        <v>456</v>
      </c>
    </row>
    <row r="19" customFormat="false" ht="15" hidden="false" customHeight="true" outlineLevel="0" collapsed="false">
      <c r="A19" s="3" t="s">
        <v>472</v>
      </c>
      <c r="B19" s="7" t="s">
        <v>191</v>
      </c>
      <c r="C19" s="10" t="str">
        <f aca="false">VLOOKUP(B19,Compounds!$A$3:$B$152,2,FALSE())</f>
        <v>Barium Ferrite</v>
      </c>
      <c r="D19" s="8" t="n">
        <f aca="false">VLOOKUP(B19,Compounds!$A$3:$C$152,3,FALSE())</f>
        <v>2</v>
      </c>
      <c r="E19" s="7" t="s">
        <v>42</v>
      </c>
      <c r="F19" s="10" t="str">
        <f aca="false">VLOOKUP(E19,Compounds!$A$3:$B$152,2,FALSE())</f>
        <v>Iron Acetate</v>
      </c>
      <c r="G19" s="7" t="s">
        <v>74</v>
      </c>
      <c r="H19" s="10" t="str">
        <f aca="false">VLOOKUP(G19,Compounds!$A$3:$B$152,2,FALSE())</f>
        <v>Barium Carbonate</v>
      </c>
      <c r="I19" s="7" t="s">
        <v>455</v>
      </c>
      <c r="J19" s="7"/>
      <c r="K19" s="7" t="s">
        <v>456</v>
      </c>
    </row>
    <row r="20" customFormat="false" ht="15" hidden="false" customHeight="true" outlineLevel="0" collapsed="false">
      <c r="A20" s="3" t="s">
        <v>473</v>
      </c>
      <c r="B20" s="7" t="s">
        <v>194</v>
      </c>
      <c r="C20" s="10" t="str">
        <f aca="false">VLOOKUP(B20,Compounds!$A$3:$B$152,2,FALSE())</f>
        <v>Sodium Tungstate</v>
      </c>
      <c r="D20" s="8" t="n">
        <f aca="false">VLOOKUP(B20,Compounds!$A$3:$C$152,3,FALSE())</f>
        <v>2</v>
      </c>
      <c r="E20" s="7" t="s">
        <v>29</v>
      </c>
      <c r="F20" s="10" t="str">
        <f aca="false">VLOOKUP(E20,Compounds!$A$3:$B$152,2,FALSE())</f>
        <v>Sodium Chloride</v>
      </c>
      <c r="G20" s="7" t="s">
        <v>89</v>
      </c>
      <c r="H20" s="10" t="str">
        <f aca="false">VLOOKUP(G20,Compounds!$A$3:$B$152,2,FALSE())</f>
        <v>Tungsten Oxide</v>
      </c>
      <c r="I20" s="7" t="s">
        <v>455</v>
      </c>
      <c r="J20" s="7"/>
      <c r="K20" s="7" t="s">
        <v>456</v>
      </c>
    </row>
    <row r="21" customFormat="false" ht="15" hidden="false" customHeight="true" outlineLevel="0" collapsed="false">
      <c r="A21" s="3" t="s">
        <v>474</v>
      </c>
      <c r="B21" s="7" t="s">
        <v>197</v>
      </c>
      <c r="C21" s="10" t="str">
        <f aca="false">VLOOKUP(B21,Compounds!$A$3:$B$152,2,FALSE())</f>
        <v>Calcium Molybdate</v>
      </c>
      <c r="D21" s="8" t="n">
        <f aca="false">VLOOKUP(B21,Compounds!$A$3:$C$152,3,FALSE())</f>
        <v>2</v>
      </c>
      <c r="E21" s="7" t="s">
        <v>34</v>
      </c>
      <c r="F21" s="10" t="str">
        <f aca="false">VLOOKUP(E21,Compounds!$A$3:$B$152,2,FALSE())</f>
        <v>Calcium Oxide</v>
      </c>
      <c r="G21" s="7" t="s">
        <v>95</v>
      </c>
      <c r="H21" s="10" t="str">
        <f aca="false">VLOOKUP(G21,Compounds!$A$3:$B$152,2,FALSE())</f>
        <v>Molybdenum Trioxide</v>
      </c>
      <c r="I21" s="7" t="s">
        <v>455</v>
      </c>
      <c r="J21" s="7"/>
      <c r="K21" s="7" t="s">
        <v>456</v>
      </c>
    </row>
    <row r="22" customFormat="false" ht="15" hidden="false" customHeight="true" outlineLevel="0" collapsed="false">
      <c r="A22" s="3" t="s">
        <v>475</v>
      </c>
      <c r="B22" s="7" t="s">
        <v>204</v>
      </c>
      <c r="C22" s="10" t="str">
        <f aca="false">VLOOKUP(B22,Compounds!$A$3:$B$152,2,FALSE())</f>
        <v>Cerium Phosphate</v>
      </c>
      <c r="D22" s="8" t="n">
        <f aca="false">VLOOKUP(B22,Compounds!$A$3:$C$152,3,FALSE())</f>
        <v>2</v>
      </c>
      <c r="E22" s="7" t="s">
        <v>107</v>
      </c>
      <c r="F22" s="10" t="str">
        <f aca="false">VLOOKUP(E22,Compounds!$A$3:$B$152,2,FALSE())</f>
        <v>Cerium Oxide</v>
      </c>
      <c r="G22" s="7" t="s">
        <v>121</v>
      </c>
      <c r="H22" s="10" t="str">
        <f aca="false">VLOOKUP(G22,Compounds!$A$3:$B$152,2,FALSE())</f>
        <v>Sodium Phosphate</v>
      </c>
      <c r="I22" s="7" t="s">
        <v>455</v>
      </c>
      <c r="J22" s="7"/>
      <c r="K22" s="7" t="s">
        <v>456</v>
      </c>
    </row>
    <row r="23" customFormat="false" ht="15" hidden="false" customHeight="true" outlineLevel="0" collapsed="false">
      <c r="A23" s="3" t="s">
        <v>476</v>
      </c>
      <c r="B23" s="7" t="s">
        <v>207</v>
      </c>
      <c r="C23" s="10" t="str">
        <f aca="false">VLOOKUP(B23,Compounds!$A$3:$B$152,2,FALSE())</f>
        <v>Yttrium Aluminate</v>
      </c>
      <c r="D23" s="8" t="n">
        <f aca="false">VLOOKUP(B23,Compounds!$A$3:$C$152,3,FALSE())</f>
        <v>2</v>
      </c>
      <c r="E23" s="7" t="s">
        <v>56</v>
      </c>
      <c r="F23" s="10" t="str">
        <f aca="false">VLOOKUP(E23,Compounds!$A$3:$B$152,2,FALSE())</f>
        <v>Aluminum Oxide</v>
      </c>
      <c r="G23" s="7" t="s">
        <v>110</v>
      </c>
      <c r="H23" s="10" t="str">
        <f aca="false">VLOOKUP(G23,Compounds!$A$3:$B$152,2,FALSE())</f>
        <v>Yttrium Oxide</v>
      </c>
      <c r="I23" s="7" t="s">
        <v>455</v>
      </c>
      <c r="J23" s="7"/>
      <c r="K23" s="7" t="s">
        <v>456</v>
      </c>
    </row>
    <row r="24" customFormat="false" ht="15" hidden="false" customHeight="true" outlineLevel="0" collapsed="false">
      <c r="A24" s="3" t="s">
        <v>477</v>
      </c>
      <c r="B24" s="7" t="s">
        <v>128</v>
      </c>
      <c r="C24" s="10" t="str">
        <f aca="false">VLOOKUP(B24,Compounds!$A$3:$B$152,2,FALSE())</f>
        <v>Zinc Salt</v>
      </c>
      <c r="D24" s="8" t="n">
        <f aca="false">VLOOKUP(B24,Compounds!$A$3:$C$152,3,FALSE())</f>
        <v>2</v>
      </c>
      <c r="E24" s="7" t="s">
        <v>38</v>
      </c>
      <c r="F24" s="10" t="str">
        <f aca="false">VLOOKUP(E24,Compounds!$A$3:$B$152,2,FALSE())</f>
        <v>Zinc Sulfate</v>
      </c>
      <c r="G24" s="7" t="s">
        <v>68</v>
      </c>
      <c r="H24" s="10" t="str">
        <f aca="false">VLOOKUP(G24,Compounds!$A$3:$B$152,2,FALSE())</f>
        <v>Cobalt Chloride</v>
      </c>
      <c r="I24" s="7" t="s">
        <v>455</v>
      </c>
      <c r="J24" s="7"/>
      <c r="K24" s="7" t="s">
        <v>456</v>
      </c>
    </row>
    <row r="25" customFormat="false" ht="15" hidden="false" customHeight="true" outlineLevel="0" collapsed="false">
      <c r="A25" s="3" t="s">
        <v>478</v>
      </c>
      <c r="B25" s="7" t="s">
        <v>139</v>
      </c>
      <c r="C25" s="10" t="str">
        <f aca="false">VLOOKUP(B25,Compounds!$A$3:$B$152,2,FALSE())</f>
        <v>Copper Carbonate</v>
      </c>
      <c r="D25" s="8" t="n">
        <f aca="false">VLOOKUP(B25,Compounds!$A$3:$C$152,3,FALSE())</f>
        <v>2</v>
      </c>
      <c r="E25" s="7" t="s">
        <v>53</v>
      </c>
      <c r="F25" s="10" t="str">
        <f aca="false">VLOOKUP(E25,Compounds!$A$3:$B$152,2,FALSE())</f>
        <v>Copper Sulfate</v>
      </c>
      <c r="G25" s="7" t="s">
        <v>71</v>
      </c>
      <c r="H25" s="10" t="str">
        <f aca="false">VLOOKUP(G25,Compounds!$A$3:$B$152,2,FALSE())</f>
        <v>Nickel Sulfate</v>
      </c>
      <c r="I25" s="7" t="s">
        <v>455</v>
      </c>
      <c r="J25" s="7"/>
      <c r="K25" s="7" t="s">
        <v>456</v>
      </c>
    </row>
    <row r="26" customFormat="false" ht="15" hidden="false" customHeight="true" outlineLevel="0" collapsed="false">
      <c r="A26" s="3" t="s">
        <v>479</v>
      </c>
      <c r="B26" s="7" t="s">
        <v>154</v>
      </c>
      <c r="C26" s="10" t="str">
        <f aca="false">VLOOKUP(B26,Compounds!$A$3:$B$152,2,FALSE())</f>
        <v>Nickel Carbonate</v>
      </c>
      <c r="D26" s="8" t="n">
        <f aca="false">VLOOKUP(B26,Compounds!$A$3:$C$152,3,FALSE())</f>
        <v>2</v>
      </c>
      <c r="E26" s="7" t="s">
        <v>71</v>
      </c>
      <c r="F26" s="10" t="str">
        <f aca="false">VLOOKUP(E26,Compounds!$A$3:$B$152,2,FALSE())</f>
        <v>Nickel Sulfate</v>
      </c>
      <c r="G26" s="7" t="s">
        <v>83</v>
      </c>
      <c r="H26" s="10" t="str">
        <f aca="false">VLOOKUP(G26,Compounds!$A$3:$B$152,2,FALSE())</f>
        <v>Chromium Oxide</v>
      </c>
      <c r="I26" s="7" t="s">
        <v>455</v>
      </c>
      <c r="J26" s="7"/>
      <c r="K26" s="7" t="s">
        <v>456</v>
      </c>
    </row>
    <row r="27" customFormat="false" ht="15" hidden="false" customHeight="true" outlineLevel="0" collapsed="false">
      <c r="A27" s="3" t="s">
        <v>480</v>
      </c>
      <c r="B27" s="7" t="s">
        <v>156</v>
      </c>
      <c r="C27" s="10" t="str">
        <f aca="false">VLOOKUP(B27,Compounds!$A$3:$B$152,2,FALSE())</f>
        <v>Cobalt Sulfide</v>
      </c>
      <c r="D27" s="8" t="n">
        <f aca="false">VLOOKUP(B27,Compounds!$A$3:$C$152,3,FALSE())</f>
        <v>2</v>
      </c>
      <c r="E27" s="7" t="s">
        <v>68</v>
      </c>
      <c r="F27" s="10" t="str">
        <f aca="false">VLOOKUP(E27,Compounds!$A$3:$B$152,2,FALSE())</f>
        <v>Cobalt Chloride</v>
      </c>
      <c r="G27" s="7" t="s">
        <v>86</v>
      </c>
      <c r="H27" s="10" t="str">
        <f aca="false">VLOOKUP(G27,Compounds!$A$3:$B$152,2,FALSE())</f>
        <v>Tin Oxide</v>
      </c>
      <c r="I27" s="7" t="s">
        <v>455</v>
      </c>
      <c r="J27" s="7"/>
      <c r="K27" s="7" t="s">
        <v>456</v>
      </c>
    </row>
    <row r="28" customFormat="false" ht="15" hidden="false" customHeight="true" outlineLevel="0" collapsed="false">
      <c r="A28" s="3" t="s">
        <v>481</v>
      </c>
      <c r="B28" s="7" t="s">
        <v>164</v>
      </c>
      <c r="C28" s="10" t="str">
        <f aca="false">VLOOKUP(B28,Compounds!$A$3:$B$152,2,FALSE())</f>
        <v>Silicon Carbide</v>
      </c>
      <c r="D28" s="8" t="n">
        <f aca="false">VLOOKUP(B28,Compounds!$A$3:$C$152,3,FALSE())</f>
        <v>2</v>
      </c>
      <c r="E28" s="7" t="s">
        <v>59</v>
      </c>
      <c r="F28" s="10" t="str">
        <f aca="false">VLOOKUP(E28,Compounds!$A$3:$B$152,2,FALSE())</f>
        <v>Silicon Dioxide</v>
      </c>
      <c r="G28" s="7" t="s">
        <v>92</v>
      </c>
      <c r="H28" s="10" t="str">
        <f aca="false">VLOOKUP(G28,Compounds!$A$3:$B$152,2,FALSE())</f>
        <v>Vanadium Pentoxide</v>
      </c>
      <c r="I28" s="7" t="s">
        <v>455</v>
      </c>
      <c r="J28" s="7"/>
      <c r="K28" s="7" t="s">
        <v>456</v>
      </c>
    </row>
    <row r="29" customFormat="false" ht="15" hidden="false" customHeight="true" outlineLevel="0" collapsed="false">
      <c r="A29" s="3" t="s">
        <v>482</v>
      </c>
      <c r="B29" s="7" t="s">
        <v>166</v>
      </c>
      <c r="C29" s="10" t="str">
        <f aca="false">VLOOKUP(B29,Compounds!$A$3:$B$152,2,FALSE())</f>
        <v>Aluminum Nitride</v>
      </c>
      <c r="D29" s="8" t="n">
        <f aca="false">VLOOKUP(B29,Compounds!$A$3:$C$152,3,FALSE())</f>
        <v>2</v>
      </c>
      <c r="E29" s="7" t="s">
        <v>56</v>
      </c>
      <c r="F29" s="10" t="str">
        <f aca="false">VLOOKUP(E29,Compounds!$A$3:$B$152,2,FALSE())</f>
        <v>Aluminum Oxide</v>
      </c>
      <c r="G29" s="7" t="s">
        <v>104</v>
      </c>
      <c r="H29" s="10" t="str">
        <f aca="false">VLOOKUP(G29,Compounds!$A$3:$B$152,2,FALSE())</f>
        <v>Bismuth Oxide</v>
      </c>
      <c r="I29" s="7" t="s">
        <v>455</v>
      </c>
      <c r="J29" s="7"/>
      <c r="K29" s="7" t="s">
        <v>456</v>
      </c>
    </row>
    <row r="30" customFormat="false" ht="15" hidden="false" customHeight="true" outlineLevel="0" collapsed="false">
      <c r="A30" s="3" t="s">
        <v>483</v>
      </c>
      <c r="B30" s="7" t="s">
        <v>168</v>
      </c>
      <c r="C30" s="10" t="str">
        <f aca="false">VLOOKUP(B30,Compounds!$A$3:$B$152,2,FALSE())</f>
        <v>Titanium Carbide</v>
      </c>
      <c r="D30" s="8" t="n">
        <f aca="false">VLOOKUP(B30,Compounds!$A$3:$C$152,3,FALSE())</f>
        <v>2</v>
      </c>
      <c r="E30" s="7" t="s">
        <v>62</v>
      </c>
      <c r="F30" s="10" t="str">
        <f aca="false">VLOOKUP(E30,Compounds!$A$3:$B$152,2,FALSE())</f>
        <v>Titanium Dioxide</v>
      </c>
      <c r="G30" s="7" t="s">
        <v>113</v>
      </c>
      <c r="H30" s="10" t="str">
        <f aca="false">VLOOKUP(G30,Compounds!$A$3:$B$152,2,FALSE())</f>
        <v>Lanthanum Carbonate</v>
      </c>
      <c r="I30" s="7" t="s">
        <v>455</v>
      </c>
      <c r="J30" s="7"/>
      <c r="K30" s="7" t="s">
        <v>456</v>
      </c>
    </row>
    <row r="31" customFormat="false" ht="15" hidden="false" customHeight="true" outlineLevel="0" collapsed="false">
      <c r="A31" s="3" t="s">
        <v>484</v>
      </c>
      <c r="B31" s="7" t="s">
        <v>200</v>
      </c>
      <c r="C31" s="10" t="str">
        <f aca="false">VLOOKUP(B31,Compounds!$A$3:$B$152,2,FALSE())</f>
        <v>Vanadium Carbide</v>
      </c>
      <c r="D31" s="8" t="n">
        <f aca="false">VLOOKUP(B31,Compounds!$A$3:$C$152,3,FALSE())</f>
        <v>2</v>
      </c>
      <c r="E31" s="7" t="s">
        <v>46</v>
      </c>
      <c r="F31" s="10" t="str">
        <f aca="false">VLOOKUP(E31,Compounds!$A$3:$B$152,2,FALSE())</f>
        <v>Potassium Iodide</v>
      </c>
      <c r="G31" s="7" t="s">
        <v>92</v>
      </c>
      <c r="H31" s="10" t="str">
        <f aca="false">VLOOKUP(G31,Compounds!$A$3:$B$152,2,FALSE())</f>
        <v>Vanadium Pentoxide</v>
      </c>
      <c r="I31" s="7" t="s">
        <v>455</v>
      </c>
      <c r="J31" s="7"/>
      <c r="K31" s="7" t="s">
        <v>456</v>
      </c>
    </row>
    <row r="32" customFormat="false" ht="15" hidden="false" customHeight="true" outlineLevel="0" collapsed="false">
      <c r="A32" s="3" t="s">
        <v>485</v>
      </c>
      <c r="B32" s="7" t="s">
        <v>202</v>
      </c>
      <c r="C32" s="10" t="str">
        <f aca="false">VLOOKUP(B32,Compounds!$A$3:$B$152,2,FALSE())</f>
        <v>Chromium Nitride</v>
      </c>
      <c r="D32" s="8" t="n">
        <f aca="false">VLOOKUP(B32,Compounds!$A$3:$C$152,3,FALSE())</f>
        <v>2</v>
      </c>
      <c r="E32" s="7" t="s">
        <v>65</v>
      </c>
      <c r="F32" s="10" t="str">
        <f aca="false">VLOOKUP(E32,Compounds!$A$3:$B$152,2,FALSE())</f>
        <v>Manganese Dioxide</v>
      </c>
      <c r="G32" s="7" t="s">
        <v>83</v>
      </c>
      <c r="H32" s="10" t="str">
        <f aca="false">VLOOKUP(G32,Compounds!$A$3:$B$152,2,FALSE())</f>
        <v>Chromium Oxide</v>
      </c>
      <c r="I32" s="7" t="s">
        <v>455</v>
      </c>
      <c r="J32" s="7"/>
      <c r="K32" s="7" t="s">
        <v>456</v>
      </c>
    </row>
    <row r="33" customFormat="false" ht="15" hidden="false" customHeight="true" outlineLevel="0" collapsed="false">
      <c r="A33" s="3" t="s">
        <v>486</v>
      </c>
      <c r="B33" s="7" t="s">
        <v>197</v>
      </c>
      <c r="C33" s="10" t="str">
        <f aca="false">VLOOKUP(B33,Compounds!$A$3:$B$152,2,FALSE())</f>
        <v>Calcium Molybdate</v>
      </c>
      <c r="D33" s="8" t="n">
        <f aca="false">VLOOKUP(B33,Compounds!$A$3:$C$152,3,FALSE())</f>
        <v>2</v>
      </c>
      <c r="E33" s="7" t="s">
        <v>95</v>
      </c>
      <c r="F33" s="10" t="str">
        <f aca="false">VLOOKUP(E33,Compounds!$A$3:$B$152,2,FALSE())</f>
        <v>Molybdenum Trioxide</v>
      </c>
      <c r="G33" s="7" t="s">
        <v>119</v>
      </c>
      <c r="H33" s="10" t="str">
        <f aca="false">VLOOKUP(G33,Compounds!$A$3:$B$152,2,FALSE())</f>
        <v>Calcium Fluoride</v>
      </c>
      <c r="I33" s="7" t="s">
        <v>455</v>
      </c>
      <c r="J33" s="7"/>
      <c r="K33" s="7" t="s">
        <v>456</v>
      </c>
    </row>
    <row r="34" customFormat="false" ht="15" hidden="false" customHeight="true" outlineLevel="0" collapsed="false">
      <c r="A34" s="3" t="s">
        <v>487</v>
      </c>
      <c r="B34" s="7" t="s">
        <v>166</v>
      </c>
      <c r="C34" s="10" t="str">
        <f aca="false">VLOOKUP(B34,Compounds!$A$3:$B$152,2,FALSE())</f>
        <v>Aluminum Nitride</v>
      </c>
      <c r="D34" s="8" t="n">
        <f aca="false">VLOOKUP(B34,Compounds!$A$3:$C$152,3,FALSE())</f>
        <v>2</v>
      </c>
      <c r="E34" s="7" t="s">
        <v>56</v>
      </c>
      <c r="F34" s="10" t="str">
        <f aca="false">VLOOKUP(E34,Compounds!$A$3:$B$152,2,FALSE())</f>
        <v>Aluminum Oxide</v>
      </c>
      <c r="G34" s="7" t="s">
        <v>77</v>
      </c>
      <c r="H34" s="10" t="str">
        <f aca="false">VLOOKUP(G34,Compounds!$A$3:$B$152,2,FALSE())</f>
        <v>Strontium Carbonate</v>
      </c>
      <c r="I34" s="7" t="s">
        <v>455</v>
      </c>
      <c r="J34" s="7"/>
      <c r="K34" s="7" t="s">
        <v>456</v>
      </c>
    </row>
    <row r="35" customFormat="false" ht="15" hidden="false" customHeight="true" outlineLevel="0" collapsed="false">
      <c r="A35" s="3" t="s">
        <v>488</v>
      </c>
      <c r="B35" s="7" t="s">
        <v>139</v>
      </c>
      <c r="C35" s="10" t="str">
        <f aca="false">VLOOKUP(B35,Compounds!$A$3:$B$152,2,FALSE())</f>
        <v>Copper Carbonate</v>
      </c>
      <c r="D35" s="8" t="n">
        <f aca="false">VLOOKUP(B35,Compounds!$A$3:$C$152,3,FALSE())</f>
        <v>2</v>
      </c>
      <c r="E35" s="7" t="s">
        <v>53</v>
      </c>
      <c r="F35" s="10" t="str">
        <f aca="false">VLOOKUP(E35,Compounds!$A$3:$B$152,2,FALSE())</f>
        <v>Copper Sulfate</v>
      </c>
      <c r="G35" s="7" t="s">
        <v>86</v>
      </c>
      <c r="H35" s="10" t="str">
        <f aca="false">VLOOKUP(G35,Compounds!$A$3:$B$152,2,FALSE())</f>
        <v>Tin Oxide</v>
      </c>
      <c r="I35" s="7" t="s">
        <v>455</v>
      </c>
      <c r="J35" s="7"/>
      <c r="K35" s="7" t="s">
        <v>456</v>
      </c>
    </row>
    <row r="36" customFormat="false" ht="15" hidden="false" customHeight="true" outlineLevel="0" collapsed="false">
      <c r="A36" s="3" t="s">
        <v>489</v>
      </c>
      <c r="B36" s="7" t="s">
        <v>176</v>
      </c>
      <c r="C36" s="10" t="str">
        <f aca="false">VLOOKUP(B36,Compounds!$A$3:$B$152,2,FALSE())</f>
        <v>Iron Silicide</v>
      </c>
      <c r="D36" s="8" t="n">
        <f aca="false">VLOOKUP(B36,Compounds!$A$3:$C$152,3,FALSE())</f>
        <v>2</v>
      </c>
      <c r="E36" s="7" t="s">
        <v>42</v>
      </c>
      <c r="F36" s="10" t="str">
        <f aca="false">VLOOKUP(E36,Compounds!$A$3:$B$152,2,FALSE())</f>
        <v>Iron Acetate</v>
      </c>
      <c r="G36" s="7" t="s">
        <v>98</v>
      </c>
      <c r="H36" s="10" t="str">
        <f aca="false">VLOOKUP(G36,Compounds!$A$3:$B$152,2,FALSE())</f>
        <v>Zirconium Silicate</v>
      </c>
      <c r="I36" s="7" t="s">
        <v>455</v>
      </c>
      <c r="J36" s="7"/>
      <c r="K36" s="7" t="s">
        <v>456</v>
      </c>
    </row>
    <row r="37" customFormat="false" ht="15" hidden="false" customHeight="true" outlineLevel="0" collapsed="false">
      <c r="A37" s="3" t="s">
        <v>490</v>
      </c>
      <c r="B37" s="7" t="s">
        <v>164</v>
      </c>
      <c r="C37" s="10" t="str">
        <f aca="false">VLOOKUP(B37,Compounds!$A$3:$B$152,2,FALSE())</f>
        <v>Silicon Carbide</v>
      </c>
      <c r="D37" s="8" t="n">
        <f aca="false">VLOOKUP(B37,Compounds!$A$3:$C$152,3,FALSE())</f>
        <v>2</v>
      </c>
      <c r="E37" s="7" t="s">
        <v>59</v>
      </c>
      <c r="F37" s="10" t="str">
        <f aca="false">VLOOKUP(E37,Compounds!$A$3:$B$152,2,FALSE())</f>
        <v>Silicon Dioxide</v>
      </c>
      <c r="G37" s="7" t="s">
        <v>89</v>
      </c>
      <c r="H37" s="10" t="str">
        <f aca="false">VLOOKUP(G37,Compounds!$A$3:$B$152,2,FALSE())</f>
        <v>Tungsten Oxide</v>
      </c>
      <c r="I37" s="7" t="s">
        <v>455</v>
      </c>
      <c r="J37" s="7"/>
      <c r="K37" s="7" t="s">
        <v>456</v>
      </c>
    </row>
    <row r="38" customFormat="false" ht="15" hidden="false" customHeight="true" outlineLevel="0" collapsed="false">
      <c r="A38" s="3" t="s">
        <v>491</v>
      </c>
      <c r="B38" s="7" t="s">
        <v>194</v>
      </c>
      <c r="C38" s="10" t="str">
        <f aca="false">VLOOKUP(B38,Compounds!$A$3:$B$152,2,FALSE())</f>
        <v>Sodium Tungstate</v>
      </c>
      <c r="D38" s="8" t="n">
        <f aca="false">VLOOKUP(B38,Compounds!$A$3:$C$152,3,FALSE())</f>
        <v>2</v>
      </c>
      <c r="E38" s="7" t="s">
        <v>89</v>
      </c>
      <c r="F38" s="10" t="str">
        <f aca="false">VLOOKUP(E38,Compounds!$A$3:$B$152,2,FALSE())</f>
        <v>Tungsten Oxide</v>
      </c>
      <c r="G38" s="7" t="s">
        <v>116</v>
      </c>
      <c r="H38" s="10" t="str">
        <f aca="false">VLOOKUP(G38,Compounds!$A$3:$B$152,2,FALSE())</f>
        <v>Sodium Borate</v>
      </c>
      <c r="I38" s="7" t="s">
        <v>455</v>
      </c>
      <c r="J38" s="7"/>
      <c r="K38" s="7" t="s">
        <v>456</v>
      </c>
    </row>
    <row r="39" customFormat="false" ht="15" hidden="false" customHeight="true" outlineLevel="0" collapsed="false">
      <c r="A39" s="3" t="s">
        <v>492</v>
      </c>
      <c r="B39" s="7" t="s">
        <v>131</v>
      </c>
      <c r="C39" s="10" t="str">
        <f aca="false">VLOOKUP(B39,Compounds!$A$3:$B$152,2,FALSE())</f>
        <v>Calcium Silicate</v>
      </c>
      <c r="D39" s="8" t="n">
        <f aca="false">VLOOKUP(B39,Compounds!$A$3:$C$152,3,FALSE())</f>
        <v>2</v>
      </c>
      <c r="E39" s="7" t="s">
        <v>34</v>
      </c>
      <c r="F39" s="10" t="str">
        <f aca="false">VLOOKUP(E39,Compounds!$A$3:$B$152,2,FALSE())</f>
        <v>Calcium Oxide</v>
      </c>
      <c r="G39" s="7" t="s">
        <v>98</v>
      </c>
      <c r="H39" s="10" t="str">
        <f aca="false">VLOOKUP(G39,Compounds!$A$3:$B$152,2,FALSE())</f>
        <v>Zirconium Silicate</v>
      </c>
      <c r="I39" s="7" t="s">
        <v>455</v>
      </c>
      <c r="J39" s="7"/>
      <c r="K39" s="7" t="s">
        <v>456</v>
      </c>
    </row>
    <row r="40" customFormat="false" ht="15" hidden="false" customHeight="true" outlineLevel="0" collapsed="false">
      <c r="A40" s="3" t="s">
        <v>493</v>
      </c>
      <c r="B40" s="7" t="s">
        <v>168</v>
      </c>
      <c r="C40" s="10" t="str">
        <f aca="false">VLOOKUP(B40,Compounds!$A$3:$B$152,2,FALSE())</f>
        <v>Titanium Carbide</v>
      </c>
      <c r="D40" s="8" t="n">
        <f aca="false">VLOOKUP(B40,Compounds!$A$3:$C$152,3,FALSE())</f>
        <v>2</v>
      </c>
      <c r="E40" s="7" t="s">
        <v>62</v>
      </c>
      <c r="F40" s="10" t="str">
        <f aca="false">VLOOKUP(E40,Compounds!$A$3:$B$152,2,FALSE())</f>
        <v>Titanium Dioxide</v>
      </c>
      <c r="G40" s="7" t="s">
        <v>101</v>
      </c>
      <c r="H40" s="10" t="str">
        <f aca="false">VLOOKUP(G40,Compounds!$A$3:$B$152,2,FALSE())</f>
        <v>Niobium Pentoxide</v>
      </c>
      <c r="I40" s="7" t="s">
        <v>455</v>
      </c>
      <c r="J40" s="7"/>
      <c r="K40" s="7" t="s">
        <v>456</v>
      </c>
    </row>
    <row r="41" customFormat="false" ht="15" hidden="false" customHeight="true" outlineLevel="0" collapsed="false">
      <c r="A41" s="3" t="s">
        <v>494</v>
      </c>
      <c r="B41" s="7" t="s">
        <v>202</v>
      </c>
      <c r="C41" s="10" t="str">
        <f aca="false">VLOOKUP(B41,Compounds!$A$3:$B$152,2,FALSE())</f>
        <v>Chromium Nitride</v>
      </c>
      <c r="D41" s="8" t="n">
        <f aca="false">VLOOKUP(B41,Compounds!$A$3:$C$152,3,FALSE())</f>
        <v>2</v>
      </c>
      <c r="E41" s="7" t="s">
        <v>83</v>
      </c>
      <c r="F41" s="10" t="str">
        <f aca="false">VLOOKUP(E41,Compounds!$A$3:$B$152,2,FALSE())</f>
        <v>Chromium Oxide</v>
      </c>
      <c r="G41" s="7" t="s">
        <v>104</v>
      </c>
      <c r="H41" s="10" t="str">
        <f aca="false">VLOOKUP(G41,Compounds!$A$3:$B$152,2,FALSE())</f>
        <v>Bismuth Oxide</v>
      </c>
      <c r="I41" s="7" t="s">
        <v>455</v>
      </c>
      <c r="J41" s="7"/>
      <c r="K41" s="7" t="s">
        <v>456</v>
      </c>
    </row>
    <row r="42" customFormat="false" ht="15" hidden="false" customHeight="true" outlineLevel="0" collapsed="false">
      <c r="A42" s="3" t="s">
        <v>495</v>
      </c>
      <c r="B42" s="7" t="s">
        <v>128</v>
      </c>
      <c r="C42" s="10" t="str">
        <f aca="false">VLOOKUP(B42,Compounds!$A$3:$B$152,2,FALSE())</f>
        <v>Zinc Salt</v>
      </c>
      <c r="D42" s="8" t="n">
        <f aca="false">VLOOKUP(B42,Compounds!$A$3:$C$152,3,FALSE())</f>
        <v>2</v>
      </c>
      <c r="E42" s="7" t="s">
        <v>38</v>
      </c>
      <c r="F42" s="10" t="str">
        <f aca="false">VLOOKUP(E42,Compounds!$A$3:$B$152,2,FALSE())</f>
        <v>Zinc Sulfate</v>
      </c>
      <c r="G42" s="7" t="s">
        <v>107</v>
      </c>
      <c r="H42" s="10" t="str">
        <f aca="false">VLOOKUP(G42,Compounds!$A$3:$B$152,2,FALSE())</f>
        <v>Cerium Oxide</v>
      </c>
      <c r="I42" s="7" t="s">
        <v>455</v>
      </c>
      <c r="J42" s="7"/>
      <c r="K42" s="7" t="s">
        <v>456</v>
      </c>
    </row>
    <row r="43" customFormat="false" ht="15" hidden="false" customHeight="true" outlineLevel="0" collapsed="false">
      <c r="A43" s="3" t="s">
        <v>496</v>
      </c>
      <c r="B43" s="7" t="s">
        <v>50</v>
      </c>
      <c r="C43" s="10" t="str">
        <f aca="false">VLOOKUP(B43,Compounds!$A$3:$B$152,2,FALSE())</f>
        <v>Magnesium Chloride</v>
      </c>
      <c r="D43" s="8" t="n">
        <f aca="false">VLOOKUP(B43,Compounds!$A$3:$C$152,3,FALSE())</f>
        <v>1</v>
      </c>
      <c r="E43" s="7" t="s">
        <v>29</v>
      </c>
      <c r="F43" s="10" t="str">
        <f aca="false">VLOOKUP(E43,Compounds!$A$3:$B$152,2,FALSE())</f>
        <v>Sodium Chloride</v>
      </c>
      <c r="G43" s="7" t="s">
        <v>34</v>
      </c>
      <c r="H43" s="10" t="str">
        <f aca="false">VLOOKUP(G43,Compounds!$A$3:$B$152,2,FALSE())</f>
        <v>Calcium Oxide</v>
      </c>
      <c r="I43" s="7" t="s">
        <v>455</v>
      </c>
      <c r="J43" s="7"/>
      <c r="K43" s="7" t="s">
        <v>497</v>
      </c>
    </row>
    <row r="44" customFormat="false" ht="15" hidden="false" customHeight="true" outlineLevel="0" collapsed="false">
      <c r="A44" s="3" t="s">
        <v>498</v>
      </c>
      <c r="B44" s="7" t="s">
        <v>53</v>
      </c>
      <c r="C44" s="10" t="str">
        <f aca="false">VLOOKUP(B44,Compounds!$A$3:$B$152,2,FALSE())</f>
        <v>Copper Sulfate</v>
      </c>
      <c r="D44" s="8" t="n">
        <f aca="false">VLOOKUP(B44,Compounds!$A$3:$C$152,3,FALSE())</f>
        <v>1</v>
      </c>
      <c r="E44" s="7" t="s">
        <v>46</v>
      </c>
      <c r="F44" s="10" t="str">
        <f aca="false">VLOOKUP(E44,Compounds!$A$3:$B$152,2,FALSE())</f>
        <v>Potassium Iodide</v>
      </c>
      <c r="G44" s="7" t="s">
        <v>50</v>
      </c>
      <c r="H44" s="10" t="str">
        <f aca="false">VLOOKUP(G44,Compounds!$A$3:$B$152,2,FALSE())</f>
        <v>Magnesium Chloride</v>
      </c>
      <c r="I44" s="7" t="s">
        <v>455</v>
      </c>
      <c r="J44" s="7"/>
      <c r="K44" s="7" t="s">
        <v>497</v>
      </c>
    </row>
    <row r="45" customFormat="false" ht="15" hidden="false" customHeight="true" outlineLevel="0" collapsed="false">
      <c r="A45" s="3" t="s">
        <v>499</v>
      </c>
      <c r="B45" s="7" t="s">
        <v>56</v>
      </c>
      <c r="C45" s="10" t="str">
        <f aca="false">VLOOKUP(B45,Compounds!$A$3:$B$152,2,FALSE())</f>
        <v>Aluminum Oxide</v>
      </c>
      <c r="D45" s="8" t="n">
        <f aca="false">VLOOKUP(B45,Compounds!$A$3:$C$152,3,FALSE())</f>
        <v>1</v>
      </c>
      <c r="E45" s="7" t="s">
        <v>29</v>
      </c>
      <c r="F45" s="10" t="str">
        <f aca="false">VLOOKUP(E45,Compounds!$A$3:$B$152,2,FALSE())</f>
        <v>Sodium Chloride</v>
      </c>
      <c r="G45" s="7" t="s">
        <v>50</v>
      </c>
      <c r="H45" s="10" t="str">
        <f aca="false">VLOOKUP(G45,Compounds!$A$3:$B$152,2,FALSE())</f>
        <v>Magnesium Chloride</v>
      </c>
      <c r="I45" s="7" t="s">
        <v>455</v>
      </c>
      <c r="J45" s="7"/>
      <c r="K45" s="7" t="s">
        <v>497</v>
      </c>
    </row>
    <row r="46" customFormat="false" ht="15" hidden="false" customHeight="true" outlineLevel="0" collapsed="false">
      <c r="A46" s="3" t="s">
        <v>500</v>
      </c>
      <c r="B46" s="7" t="s">
        <v>59</v>
      </c>
      <c r="C46" s="10" t="str">
        <f aca="false">VLOOKUP(B46,Compounds!$A$3:$B$152,2,FALSE())</f>
        <v>Silicon Dioxide</v>
      </c>
      <c r="D46" s="8" t="n">
        <f aca="false">VLOOKUP(B46,Compounds!$A$3:$C$152,3,FALSE())</f>
        <v>1</v>
      </c>
      <c r="E46" s="7" t="s">
        <v>46</v>
      </c>
      <c r="F46" s="10" t="str">
        <f aca="false">VLOOKUP(E46,Compounds!$A$3:$B$152,2,FALSE())</f>
        <v>Potassium Iodide</v>
      </c>
      <c r="G46" s="7" t="s">
        <v>53</v>
      </c>
      <c r="H46" s="10" t="str">
        <f aca="false">VLOOKUP(G46,Compounds!$A$3:$B$152,2,FALSE())</f>
        <v>Copper Sulfate</v>
      </c>
      <c r="I46" s="7" t="s">
        <v>455</v>
      </c>
      <c r="J46" s="7"/>
      <c r="K46" s="7" t="s">
        <v>497</v>
      </c>
    </row>
    <row r="47" customFormat="false" ht="15" hidden="false" customHeight="true" outlineLevel="0" collapsed="false">
      <c r="A47" s="3" t="s">
        <v>501</v>
      </c>
      <c r="B47" s="7" t="s">
        <v>62</v>
      </c>
      <c r="C47" s="10" t="str">
        <f aca="false">VLOOKUP(B47,Compounds!$A$3:$B$152,2,FALSE())</f>
        <v>Titanium Dioxide</v>
      </c>
      <c r="D47" s="8" t="n">
        <f aca="false">VLOOKUP(B47,Compounds!$A$3:$C$152,3,FALSE())</f>
        <v>1</v>
      </c>
      <c r="E47" s="7" t="s">
        <v>29</v>
      </c>
      <c r="F47" s="10" t="str">
        <f aca="false">VLOOKUP(E47,Compounds!$A$3:$B$152,2,FALSE())</f>
        <v>Sodium Chloride</v>
      </c>
      <c r="G47" s="7" t="s">
        <v>38</v>
      </c>
      <c r="H47" s="10" t="str">
        <f aca="false">VLOOKUP(G47,Compounds!$A$3:$B$152,2,FALSE())</f>
        <v>Zinc Sulfate</v>
      </c>
      <c r="I47" s="7" t="s">
        <v>455</v>
      </c>
      <c r="J47" s="7"/>
      <c r="K47" s="7" t="s">
        <v>497</v>
      </c>
    </row>
    <row r="48" customFormat="false" ht="15" hidden="false" customHeight="true" outlineLevel="0" collapsed="false">
      <c r="A48" s="3" t="s">
        <v>502</v>
      </c>
      <c r="B48" s="7" t="s">
        <v>65</v>
      </c>
      <c r="C48" s="10" t="str">
        <f aca="false">VLOOKUP(B48,Compounds!$A$3:$B$152,2,FALSE())</f>
        <v>Manganese Dioxide</v>
      </c>
      <c r="D48" s="8" t="n">
        <f aca="false">VLOOKUP(B48,Compounds!$A$3:$C$152,3,FALSE())</f>
        <v>1</v>
      </c>
      <c r="E48" s="7" t="s">
        <v>34</v>
      </c>
      <c r="F48" s="10" t="str">
        <f aca="false">VLOOKUP(E48,Compounds!$A$3:$B$152,2,FALSE())</f>
        <v>Calcium Oxide</v>
      </c>
      <c r="G48" s="7" t="s">
        <v>46</v>
      </c>
      <c r="H48" s="10" t="str">
        <f aca="false">VLOOKUP(G48,Compounds!$A$3:$B$152,2,FALSE())</f>
        <v>Potassium Iodide</v>
      </c>
      <c r="I48" s="7" t="s">
        <v>455</v>
      </c>
      <c r="J48" s="7"/>
      <c r="K48" s="7" t="s">
        <v>497</v>
      </c>
    </row>
    <row r="49" customFormat="false" ht="15" hidden="false" customHeight="true" outlineLevel="0" collapsed="false">
      <c r="A49" s="3" t="s">
        <v>503</v>
      </c>
      <c r="B49" s="7" t="s">
        <v>68</v>
      </c>
      <c r="C49" s="10" t="str">
        <f aca="false">VLOOKUP(B49,Compounds!$A$3:$B$152,2,FALSE())</f>
        <v>Cobalt Chloride</v>
      </c>
      <c r="D49" s="8" t="n">
        <f aca="false">VLOOKUP(B49,Compounds!$A$3:$C$152,3,FALSE())</f>
        <v>1</v>
      </c>
      <c r="E49" s="7" t="s">
        <v>50</v>
      </c>
      <c r="F49" s="10" t="str">
        <f aca="false">VLOOKUP(E49,Compounds!$A$3:$B$152,2,FALSE())</f>
        <v>Magnesium Chloride</v>
      </c>
      <c r="G49" s="7" t="s">
        <v>65</v>
      </c>
      <c r="H49" s="10" t="str">
        <f aca="false">VLOOKUP(G49,Compounds!$A$3:$B$152,2,FALSE())</f>
        <v>Manganese Dioxide</v>
      </c>
      <c r="I49" s="7" t="s">
        <v>455</v>
      </c>
      <c r="J49" s="7"/>
      <c r="K49" s="7" t="s">
        <v>497</v>
      </c>
    </row>
    <row r="50" customFormat="false" ht="15" hidden="false" customHeight="true" outlineLevel="0" collapsed="false">
      <c r="A50" s="3" t="s">
        <v>504</v>
      </c>
      <c r="B50" s="7" t="s">
        <v>71</v>
      </c>
      <c r="C50" s="10" t="str">
        <f aca="false">VLOOKUP(B50,Compounds!$A$3:$B$152,2,FALSE())</f>
        <v>Nickel Sulfate</v>
      </c>
      <c r="D50" s="8" t="n">
        <f aca="false">VLOOKUP(B50,Compounds!$A$3:$C$152,3,FALSE())</f>
        <v>1</v>
      </c>
      <c r="E50" s="7" t="s">
        <v>65</v>
      </c>
      <c r="F50" s="10" t="str">
        <f aca="false">VLOOKUP(E50,Compounds!$A$3:$B$152,2,FALSE())</f>
        <v>Manganese Dioxide</v>
      </c>
      <c r="G50" s="7" t="s">
        <v>68</v>
      </c>
      <c r="H50" s="10" t="str">
        <f aca="false">VLOOKUP(G50,Compounds!$A$3:$B$152,2,FALSE())</f>
        <v>Cobalt Chloride</v>
      </c>
      <c r="I50" s="7" t="s">
        <v>455</v>
      </c>
      <c r="J50" s="7"/>
      <c r="K50" s="7" t="s">
        <v>497</v>
      </c>
    </row>
    <row r="51" customFormat="false" ht="15" hidden="false" customHeight="true" outlineLevel="0" collapsed="false">
      <c r="A51" s="3" t="s">
        <v>505</v>
      </c>
      <c r="B51" s="7" t="s">
        <v>74</v>
      </c>
      <c r="C51" s="10" t="str">
        <f aca="false">VLOOKUP(B51,Compounds!$A$3:$B$152,2,FALSE())</f>
        <v>Barium Carbonate</v>
      </c>
      <c r="D51" s="8" t="n">
        <f aca="false">VLOOKUP(B51,Compounds!$A$3:$C$152,3,FALSE())</f>
        <v>1</v>
      </c>
      <c r="E51" s="7" t="s">
        <v>68</v>
      </c>
      <c r="F51" s="10" t="str">
        <f aca="false">VLOOKUP(E51,Compounds!$A$3:$B$152,2,FALSE())</f>
        <v>Cobalt Chloride</v>
      </c>
      <c r="G51" s="7" t="s">
        <v>71</v>
      </c>
      <c r="H51" s="10" t="str">
        <f aca="false">VLOOKUP(G51,Compounds!$A$3:$B$152,2,FALSE())</f>
        <v>Nickel Sulfate</v>
      </c>
      <c r="I51" s="7" t="s">
        <v>455</v>
      </c>
      <c r="J51" s="7"/>
      <c r="K51" s="7" t="s">
        <v>497</v>
      </c>
    </row>
    <row r="52" customFormat="false" ht="15" hidden="false" customHeight="true" outlineLevel="0" collapsed="false">
      <c r="A52" s="3" t="s">
        <v>506</v>
      </c>
      <c r="B52" s="7" t="s">
        <v>77</v>
      </c>
      <c r="C52" s="10" t="str">
        <f aca="false">VLOOKUP(B52,Compounds!$A$3:$B$152,2,FALSE())</f>
        <v>Strontium Carbonate</v>
      </c>
      <c r="D52" s="8" t="n">
        <f aca="false">VLOOKUP(B52,Compounds!$A$3:$C$152,3,FALSE())</f>
        <v>1</v>
      </c>
      <c r="E52" s="7" t="s">
        <v>71</v>
      </c>
      <c r="F52" s="10" t="str">
        <f aca="false">VLOOKUP(E52,Compounds!$A$3:$B$152,2,FALSE())</f>
        <v>Nickel Sulfate</v>
      </c>
      <c r="G52" s="7" t="s">
        <v>74</v>
      </c>
      <c r="H52" s="10" t="str">
        <f aca="false">VLOOKUP(G52,Compounds!$A$3:$B$152,2,FALSE())</f>
        <v>Barium Carbonate</v>
      </c>
      <c r="I52" s="7" t="s">
        <v>455</v>
      </c>
      <c r="J52" s="7"/>
      <c r="K52" s="7" t="s">
        <v>497</v>
      </c>
    </row>
    <row r="53" customFormat="false" ht="15" hidden="false" customHeight="true" outlineLevel="0" collapsed="false">
      <c r="A53" s="3" t="s">
        <v>507</v>
      </c>
      <c r="B53" s="7" t="s">
        <v>80</v>
      </c>
      <c r="C53" s="10" t="str">
        <f aca="false">VLOOKUP(B53,Compounds!$A$3:$B$152,2,FALSE())</f>
        <v>Lithium Carbonate</v>
      </c>
      <c r="D53" s="8" t="n">
        <f aca="false">VLOOKUP(B53,Compounds!$A$3:$C$152,3,FALSE())</f>
        <v>1</v>
      </c>
      <c r="E53" s="7" t="s">
        <v>74</v>
      </c>
      <c r="F53" s="10" t="str">
        <f aca="false">VLOOKUP(E53,Compounds!$A$3:$B$152,2,FALSE())</f>
        <v>Barium Carbonate</v>
      </c>
      <c r="G53" s="7" t="s">
        <v>77</v>
      </c>
      <c r="H53" s="10" t="str">
        <f aca="false">VLOOKUP(G53,Compounds!$A$3:$B$152,2,FALSE())</f>
        <v>Strontium Carbonate</v>
      </c>
      <c r="I53" s="7" t="s">
        <v>455</v>
      </c>
      <c r="J53" s="7"/>
      <c r="K53" s="7" t="s">
        <v>497</v>
      </c>
    </row>
    <row r="54" customFormat="false" ht="15" hidden="false" customHeight="true" outlineLevel="0" collapsed="false">
      <c r="A54" s="3" t="s">
        <v>508</v>
      </c>
      <c r="B54" s="7" t="s">
        <v>83</v>
      </c>
      <c r="C54" s="10" t="str">
        <f aca="false">VLOOKUP(B54,Compounds!$A$3:$B$152,2,FALSE())</f>
        <v>Chromium Oxide</v>
      </c>
      <c r="D54" s="8" t="n">
        <f aca="false">VLOOKUP(B54,Compounds!$A$3:$C$152,3,FALSE())</f>
        <v>1</v>
      </c>
      <c r="E54" s="7" t="s">
        <v>77</v>
      </c>
      <c r="F54" s="10" t="str">
        <f aca="false">VLOOKUP(E54,Compounds!$A$3:$B$152,2,FALSE())</f>
        <v>Strontium Carbonate</v>
      </c>
      <c r="G54" s="7" t="s">
        <v>80</v>
      </c>
      <c r="H54" s="10" t="str">
        <f aca="false">VLOOKUP(G54,Compounds!$A$3:$B$152,2,FALSE())</f>
        <v>Lithium Carbonate</v>
      </c>
      <c r="I54" s="7" t="s">
        <v>455</v>
      </c>
      <c r="J54" s="7"/>
      <c r="K54" s="7" t="s">
        <v>497</v>
      </c>
    </row>
    <row r="55" customFormat="false" ht="15" hidden="false" customHeight="true" outlineLevel="0" collapsed="false">
      <c r="A55" s="3" t="s">
        <v>509</v>
      </c>
      <c r="B55" s="7" t="s">
        <v>86</v>
      </c>
      <c r="C55" s="10" t="str">
        <f aca="false">VLOOKUP(B55,Compounds!$A$3:$B$152,2,FALSE())</f>
        <v>Tin Oxide</v>
      </c>
      <c r="D55" s="8" t="n">
        <f aca="false">VLOOKUP(B55,Compounds!$A$3:$C$152,3,FALSE())</f>
        <v>1</v>
      </c>
      <c r="E55" s="7" t="s">
        <v>80</v>
      </c>
      <c r="F55" s="10" t="str">
        <f aca="false">VLOOKUP(E55,Compounds!$A$3:$B$152,2,FALSE())</f>
        <v>Lithium Carbonate</v>
      </c>
      <c r="G55" s="7" t="s">
        <v>83</v>
      </c>
      <c r="H55" s="10" t="str">
        <f aca="false">VLOOKUP(G55,Compounds!$A$3:$B$152,2,FALSE())</f>
        <v>Chromium Oxide</v>
      </c>
      <c r="I55" s="7" t="s">
        <v>455</v>
      </c>
      <c r="J55" s="7"/>
      <c r="K55" s="7" t="s">
        <v>497</v>
      </c>
    </row>
    <row r="56" customFormat="false" ht="15" hidden="false" customHeight="true" outlineLevel="0" collapsed="false">
      <c r="A56" s="3" t="s">
        <v>510</v>
      </c>
      <c r="B56" s="7" t="s">
        <v>89</v>
      </c>
      <c r="C56" s="10" t="str">
        <f aca="false">VLOOKUP(B56,Compounds!$A$3:$B$152,2,FALSE())</f>
        <v>Tungsten Oxide</v>
      </c>
      <c r="D56" s="8" t="n">
        <f aca="false">VLOOKUP(B56,Compounds!$A$3:$C$152,3,FALSE())</f>
        <v>1</v>
      </c>
      <c r="E56" s="7" t="s">
        <v>59</v>
      </c>
      <c r="F56" s="10" t="str">
        <f aca="false">VLOOKUP(E56,Compounds!$A$3:$B$152,2,FALSE())</f>
        <v>Silicon Dioxide</v>
      </c>
      <c r="G56" s="7" t="s">
        <v>86</v>
      </c>
      <c r="H56" s="10" t="str">
        <f aca="false">VLOOKUP(G56,Compounds!$A$3:$B$152,2,FALSE())</f>
        <v>Tin Oxide</v>
      </c>
      <c r="I56" s="7" t="s">
        <v>455</v>
      </c>
      <c r="J56" s="7"/>
      <c r="K56" s="7" t="s">
        <v>497</v>
      </c>
    </row>
    <row r="57" customFormat="false" ht="15" hidden="false" customHeight="true" outlineLevel="0" collapsed="false">
      <c r="A57" s="3" t="s">
        <v>511</v>
      </c>
      <c r="B57" s="7" t="s">
        <v>92</v>
      </c>
      <c r="C57" s="10" t="str">
        <f aca="false">VLOOKUP(B57,Compounds!$A$3:$B$152,2,FALSE())</f>
        <v>Vanadium Pentoxide</v>
      </c>
      <c r="D57" s="8" t="n">
        <f aca="false">VLOOKUP(B57,Compounds!$A$3:$C$152,3,FALSE())</f>
        <v>1</v>
      </c>
      <c r="E57" s="7" t="s">
        <v>86</v>
      </c>
      <c r="F57" s="10" t="str">
        <f aca="false">VLOOKUP(E57,Compounds!$A$3:$B$152,2,FALSE())</f>
        <v>Tin Oxide</v>
      </c>
      <c r="G57" s="7" t="s">
        <v>89</v>
      </c>
      <c r="H57" s="10" t="str">
        <f aca="false">VLOOKUP(G57,Compounds!$A$3:$B$152,2,FALSE())</f>
        <v>Tungsten Oxide</v>
      </c>
      <c r="I57" s="7" t="s">
        <v>455</v>
      </c>
      <c r="J57" s="7"/>
      <c r="K57" s="7" t="s">
        <v>497</v>
      </c>
    </row>
    <row r="58" customFormat="false" ht="15" hidden="false" customHeight="true" outlineLevel="0" collapsed="false">
      <c r="A58" s="3" t="s">
        <v>512</v>
      </c>
      <c r="B58" s="7" t="s">
        <v>95</v>
      </c>
      <c r="C58" s="10" t="str">
        <f aca="false">VLOOKUP(B58,Compounds!$A$3:$B$152,2,FALSE())</f>
        <v>Molybdenum Trioxide</v>
      </c>
      <c r="D58" s="8" t="n">
        <f aca="false">VLOOKUP(B58,Compounds!$A$3:$C$152,3,FALSE())</f>
        <v>1</v>
      </c>
      <c r="E58" s="7" t="s">
        <v>53</v>
      </c>
      <c r="F58" s="10" t="str">
        <f aca="false">VLOOKUP(E58,Compounds!$A$3:$B$152,2,FALSE())</f>
        <v>Copper Sulfate</v>
      </c>
      <c r="G58" s="7" t="s">
        <v>92</v>
      </c>
      <c r="H58" s="10" t="str">
        <f aca="false">VLOOKUP(G58,Compounds!$A$3:$B$152,2,FALSE())</f>
        <v>Vanadium Pentoxide</v>
      </c>
      <c r="I58" s="7" t="s">
        <v>455</v>
      </c>
      <c r="J58" s="7"/>
      <c r="K58" s="7" t="s">
        <v>497</v>
      </c>
    </row>
    <row r="59" customFormat="false" ht="15" hidden="false" customHeight="true" outlineLevel="0" collapsed="false">
      <c r="A59" s="3" t="s">
        <v>513</v>
      </c>
      <c r="B59" s="7" t="s">
        <v>98</v>
      </c>
      <c r="C59" s="10" t="str">
        <f aca="false">VLOOKUP(B59,Compounds!$A$3:$B$152,2,FALSE())</f>
        <v>Zirconium Silicate</v>
      </c>
      <c r="D59" s="8" t="n">
        <f aca="false">VLOOKUP(B59,Compounds!$A$3:$C$152,3,FALSE())</f>
        <v>1</v>
      </c>
      <c r="E59" s="7" t="s">
        <v>29</v>
      </c>
      <c r="F59" s="10" t="str">
        <f aca="false">VLOOKUP(E59,Compounds!$A$3:$B$152,2,FALSE())</f>
        <v>Sodium Chloride</v>
      </c>
      <c r="G59" s="7" t="s">
        <v>59</v>
      </c>
      <c r="H59" s="10" t="str">
        <f aca="false">VLOOKUP(G59,Compounds!$A$3:$B$152,2,FALSE())</f>
        <v>Silicon Dioxide</v>
      </c>
      <c r="I59" s="7" t="s">
        <v>455</v>
      </c>
      <c r="J59" s="7"/>
      <c r="K59" s="7" t="s">
        <v>497</v>
      </c>
    </row>
    <row r="60" customFormat="false" ht="15" hidden="false" customHeight="true" outlineLevel="0" collapsed="false">
      <c r="A60" s="3" t="s">
        <v>514</v>
      </c>
      <c r="B60" s="7" t="s">
        <v>101</v>
      </c>
      <c r="C60" s="10" t="str">
        <f aca="false">VLOOKUP(B60,Compounds!$A$3:$B$152,2,FALSE())</f>
        <v>Niobium Pentoxide</v>
      </c>
      <c r="D60" s="8" t="n">
        <f aca="false">VLOOKUP(B60,Compounds!$A$3:$C$152,3,FALSE())</f>
        <v>1</v>
      </c>
      <c r="E60" s="7" t="s">
        <v>92</v>
      </c>
      <c r="F60" s="10" t="str">
        <f aca="false">VLOOKUP(E60,Compounds!$A$3:$B$152,2,FALSE())</f>
        <v>Vanadium Pentoxide</v>
      </c>
      <c r="G60" s="7" t="s">
        <v>95</v>
      </c>
      <c r="H60" s="10" t="str">
        <f aca="false">VLOOKUP(G60,Compounds!$A$3:$B$152,2,FALSE())</f>
        <v>Molybdenum Trioxide</v>
      </c>
      <c r="I60" s="7" t="s">
        <v>455</v>
      </c>
      <c r="J60" s="7"/>
      <c r="K60" s="7" t="s">
        <v>497</v>
      </c>
    </row>
    <row r="61" customFormat="false" ht="15" hidden="false" customHeight="true" outlineLevel="0" collapsed="false">
      <c r="A61" s="3" t="s">
        <v>515</v>
      </c>
      <c r="B61" s="7" t="s">
        <v>104</v>
      </c>
      <c r="C61" s="10" t="str">
        <f aca="false">VLOOKUP(B61,Compounds!$A$3:$B$152,2,FALSE())</f>
        <v>Bismuth Oxide</v>
      </c>
      <c r="D61" s="8" t="n">
        <f aca="false">VLOOKUP(B61,Compounds!$A$3:$C$152,3,FALSE())</f>
        <v>1</v>
      </c>
      <c r="E61" s="7" t="s">
        <v>95</v>
      </c>
      <c r="F61" s="10" t="str">
        <f aca="false">VLOOKUP(E61,Compounds!$A$3:$B$152,2,FALSE())</f>
        <v>Molybdenum Trioxide</v>
      </c>
      <c r="G61" s="7" t="s">
        <v>101</v>
      </c>
      <c r="H61" s="10" t="str">
        <f aca="false">VLOOKUP(G61,Compounds!$A$3:$B$152,2,FALSE())</f>
        <v>Niobium Pentoxide</v>
      </c>
      <c r="I61" s="7" t="s">
        <v>455</v>
      </c>
      <c r="J61" s="7"/>
      <c r="K61" s="7" t="s">
        <v>497</v>
      </c>
    </row>
    <row r="62" customFormat="false" ht="15" hidden="false" customHeight="true" outlineLevel="0" collapsed="false">
      <c r="A62" s="3" t="s">
        <v>516</v>
      </c>
      <c r="B62" s="7" t="s">
        <v>107</v>
      </c>
      <c r="C62" s="10" t="str">
        <f aca="false">VLOOKUP(B62,Compounds!$A$3:$B$152,2,FALSE())</f>
        <v>Cerium Oxide</v>
      </c>
      <c r="D62" s="8" t="n">
        <f aca="false">VLOOKUP(B62,Compounds!$A$3:$C$152,3,FALSE())</f>
        <v>1</v>
      </c>
      <c r="E62" s="7" t="s">
        <v>101</v>
      </c>
      <c r="F62" s="10" t="str">
        <f aca="false">VLOOKUP(E62,Compounds!$A$3:$B$152,2,FALSE())</f>
        <v>Niobium Pentoxide</v>
      </c>
      <c r="G62" s="7" t="s">
        <v>104</v>
      </c>
      <c r="H62" s="10" t="str">
        <f aca="false">VLOOKUP(G62,Compounds!$A$3:$B$152,2,FALSE())</f>
        <v>Bismuth Oxide</v>
      </c>
      <c r="I62" s="7" t="s">
        <v>455</v>
      </c>
      <c r="J62" s="7"/>
      <c r="K62" s="7" t="s">
        <v>497</v>
      </c>
    </row>
    <row r="63" customFormat="false" ht="15" hidden="false" customHeight="true" outlineLevel="0" collapsed="false">
      <c r="A63" s="3" t="s">
        <v>517</v>
      </c>
      <c r="B63" s="7" t="s">
        <v>110</v>
      </c>
      <c r="C63" s="10" t="str">
        <f aca="false">VLOOKUP(B63,Compounds!$A$3:$B$152,2,FALSE())</f>
        <v>Yttrium Oxide</v>
      </c>
      <c r="D63" s="8" t="n">
        <f aca="false">VLOOKUP(B63,Compounds!$A$3:$C$152,3,FALSE())</f>
        <v>1</v>
      </c>
      <c r="E63" s="7" t="s">
        <v>104</v>
      </c>
      <c r="F63" s="10" t="str">
        <f aca="false">VLOOKUP(E63,Compounds!$A$3:$B$152,2,FALSE())</f>
        <v>Bismuth Oxide</v>
      </c>
      <c r="G63" s="7" t="s">
        <v>107</v>
      </c>
      <c r="H63" s="10" t="str">
        <f aca="false">VLOOKUP(G63,Compounds!$A$3:$B$152,2,FALSE())</f>
        <v>Cerium Oxide</v>
      </c>
      <c r="I63" s="7" t="s">
        <v>455</v>
      </c>
      <c r="J63" s="7"/>
      <c r="K63" s="7" t="s">
        <v>497</v>
      </c>
    </row>
    <row r="64" customFormat="false" ht="15" hidden="false" customHeight="true" outlineLevel="0" collapsed="false">
      <c r="A64" s="3" t="s">
        <v>518</v>
      </c>
      <c r="B64" s="7" t="s">
        <v>113</v>
      </c>
      <c r="C64" s="10" t="str">
        <f aca="false">VLOOKUP(B64,Compounds!$A$3:$B$152,2,FALSE())</f>
        <v>Lanthanum Carbonate</v>
      </c>
      <c r="D64" s="8" t="n">
        <f aca="false">VLOOKUP(B64,Compounds!$A$3:$C$152,3,FALSE())</f>
        <v>1</v>
      </c>
      <c r="E64" s="7" t="s">
        <v>107</v>
      </c>
      <c r="F64" s="10" t="str">
        <f aca="false">VLOOKUP(E64,Compounds!$A$3:$B$152,2,FALSE())</f>
        <v>Cerium Oxide</v>
      </c>
      <c r="G64" s="7" t="s">
        <v>110</v>
      </c>
      <c r="H64" s="10" t="str">
        <f aca="false">VLOOKUP(G64,Compounds!$A$3:$B$152,2,FALSE())</f>
        <v>Yttrium Oxide</v>
      </c>
      <c r="I64" s="7" t="s">
        <v>455</v>
      </c>
      <c r="J64" s="7"/>
      <c r="K64" s="7" t="s">
        <v>497</v>
      </c>
    </row>
    <row r="65" customFormat="false" ht="15" hidden="false" customHeight="true" outlineLevel="0" collapsed="false">
      <c r="A65" s="3" t="s">
        <v>519</v>
      </c>
      <c r="B65" s="7" t="s">
        <v>116</v>
      </c>
      <c r="C65" s="10" t="str">
        <f aca="false">VLOOKUP(B65,Compounds!$A$3:$B$152,2,FALSE())</f>
        <v>Sodium Borate</v>
      </c>
      <c r="D65" s="8" t="n">
        <f aca="false">VLOOKUP(B65,Compounds!$A$3:$C$152,3,FALSE())</f>
        <v>1</v>
      </c>
      <c r="E65" s="7" t="s">
        <v>29</v>
      </c>
      <c r="F65" s="10" t="str">
        <f aca="false">VLOOKUP(E65,Compounds!$A$3:$B$152,2,FALSE())</f>
        <v>Sodium Chloride</v>
      </c>
      <c r="G65" s="7" t="s">
        <v>113</v>
      </c>
      <c r="H65" s="10" t="str">
        <f aca="false">VLOOKUP(G65,Compounds!$A$3:$B$152,2,FALSE())</f>
        <v>Lanthanum Carbonate</v>
      </c>
      <c r="I65" s="7" t="s">
        <v>455</v>
      </c>
      <c r="J65" s="7"/>
      <c r="K65" s="7" t="s">
        <v>497</v>
      </c>
    </row>
    <row r="66" customFormat="false" ht="15" hidden="false" customHeight="true" outlineLevel="0" collapsed="false">
      <c r="A66" s="3" t="s">
        <v>520</v>
      </c>
      <c r="B66" s="7" t="s">
        <v>119</v>
      </c>
      <c r="C66" s="10" t="str">
        <f aca="false">VLOOKUP(B66,Compounds!$A$3:$B$152,2,FALSE())</f>
        <v>Calcium Fluoride</v>
      </c>
      <c r="D66" s="8" t="n">
        <f aca="false">VLOOKUP(B66,Compounds!$A$3:$C$152,3,FALSE())</f>
        <v>1</v>
      </c>
      <c r="E66" s="7" t="s">
        <v>34</v>
      </c>
      <c r="F66" s="10" t="str">
        <f aca="false">VLOOKUP(E66,Compounds!$A$3:$B$152,2,FALSE())</f>
        <v>Calcium Oxide</v>
      </c>
      <c r="G66" s="7" t="s">
        <v>110</v>
      </c>
      <c r="H66" s="10" t="str">
        <f aca="false">VLOOKUP(G66,Compounds!$A$3:$B$152,2,FALSE())</f>
        <v>Yttrium Oxide</v>
      </c>
      <c r="I66" s="7" t="s">
        <v>455</v>
      </c>
      <c r="J66" s="7"/>
      <c r="K66" s="7" t="s">
        <v>497</v>
      </c>
    </row>
    <row r="67" customFormat="false" ht="15" hidden="false" customHeight="true" outlineLevel="0" collapsed="false">
      <c r="A67" s="3" t="s">
        <v>521</v>
      </c>
      <c r="B67" s="7" t="s">
        <v>121</v>
      </c>
      <c r="C67" s="10" t="str">
        <f aca="false">VLOOKUP(B67,Compounds!$A$3:$B$152,2,FALSE())</f>
        <v>Sodium Phosphate</v>
      </c>
      <c r="D67" s="8" t="n">
        <f aca="false">VLOOKUP(B67,Compounds!$A$3:$C$152,3,FALSE())</f>
        <v>1</v>
      </c>
      <c r="E67" s="7" t="s">
        <v>113</v>
      </c>
      <c r="F67" s="10" t="str">
        <f aca="false">VLOOKUP(E67,Compounds!$A$3:$B$152,2,FALSE())</f>
        <v>Lanthanum Carbonate</v>
      </c>
      <c r="G67" s="7" t="s">
        <v>116</v>
      </c>
      <c r="H67" s="10" t="str">
        <f aca="false">VLOOKUP(G67,Compounds!$A$3:$B$152,2,FALSE())</f>
        <v>Sodium Borate</v>
      </c>
      <c r="I67" s="7" t="s">
        <v>455</v>
      </c>
      <c r="J67" s="7"/>
      <c r="K67" s="7" t="s">
        <v>497</v>
      </c>
    </row>
    <row r="68" customFormat="false" ht="15" hidden="false" customHeight="true" outlineLevel="0" collapsed="false">
      <c r="A68" s="3" t="s">
        <v>522</v>
      </c>
      <c r="B68" s="7" t="s">
        <v>210</v>
      </c>
      <c r="C68" s="10" t="str">
        <f aca="false">VLOOKUP(B68,Compounds!$A$3:$B$152,2,FALSE())</f>
        <v>Borosilicate Glass</v>
      </c>
      <c r="D68" s="8" t="n">
        <f aca="false">VLOOKUP(B68,Compounds!$A$3:$C$152,3,FALSE())</f>
        <v>3</v>
      </c>
      <c r="E68" s="7" t="s">
        <v>116</v>
      </c>
      <c r="F68" s="10" t="str">
        <f aca="false">VLOOKUP(E68,Compounds!$A$3:$B$152,2,FALSE())</f>
        <v>Sodium Borate</v>
      </c>
      <c r="G68" s="7" t="s">
        <v>131</v>
      </c>
      <c r="H68" s="10" t="str">
        <f aca="false">VLOOKUP(G68,Compounds!$A$3:$B$152,2,FALSE())</f>
        <v>Calcium Silicate</v>
      </c>
      <c r="I68" s="7" t="s">
        <v>455</v>
      </c>
      <c r="J68" s="7"/>
      <c r="K68" s="7" t="s">
        <v>523</v>
      </c>
    </row>
    <row r="69" customFormat="false" ht="15" hidden="false" customHeight="true" outlineLevel="0" collapsed="false">
      <c r="A69" s="3" t="s">
        <v>524</v>
      </c>
      <c r="B69" s="7" t="s">
        <v>214</v>
      </c>
      <c r="C69" s="10" t="str">
        <f aca="false">VLOOKUP(B69,Compounds!$A$3:$B$152,2,FALSE())</f>
        <v>Ferrochrome Alloy</v>
      </c>
      <c r="D69" s="8" t="n">
        <f aca="false">VLOOKUP(B69,Compounds!$A$3:$C$152,3,FALSE())</f>
        <v>3</v>
      </c>
      <c r="E69" s="7" t="s">
        <v>83</v>
      </c>
      <c r="F69" s="10" t="str">
        <f aca="false">VLOOKUP(E69,Compounds!$A$3:$B$152,2,FALSE())</f>
        <v>Chromium Oxide</v>
      </c>
      <c r="G69" s="7" t="s">
        <v>142</v>
      </c>
      <c r="H69" s="10" t="str">
        <f aca="false">VLOOKUP(G69,Compounds!$A$3:$B$152,2,FALSE())</f>
        <v>Iron Phosphate</v>
      </c>
      <c r="I69" s="7" t="s">
        <v>455</v>
      </c>
      <c r="J69" s="7"/>
      <c r="K69" s="7" t="s">
        <v>523</v>
      </c>
    </row>
    <row r="70" customFormat="false" ht="15" hidden="false" customHeight="true" outlineLevel="0" collapsed="false">
      <c r="A70" s="3" t="s">
        <v>525</v>
      </c>
      <c r="B70" s="7" t="s">
        <v>218</v>
      </c>
      <c r="C70" s="10" t="str">
        <f aca="false">VLOOKUP(B70,Compounds!$A$3:$B$152,2,FALSE())</f>
        <v>Cupronickel Matrix</v>
      </c>
      <c r="D70" s="8" t="n">
        <f aca="false">VLOOKUP(B70,Compounds!$A$3:$C$152,3,FALSE())</f>
        <v>3</v>
      </c>
      <c r="E70" s="7" t="s">
        <v>71</v>
      </c>
      <c r="F70" s="10" t="str">
        <f aca="false">VLOOKUP(E70,Compounds!$A$3:$B$152,2,FALSE())</f>
        <v>Nickel Sulfate</v>
      </c>
      <c r="G70" s="7" t="s">
        <v>139</v>
      </c>
      <c r="H70" s="10" t="str">
        <f aca="false">VLOOKUP(G70,Compounds!$A$3:$B$152,2,FALSE())</f>
        <v>Copper Carbonate</v>
      </c>
      <c r="I70" s="7" t="s">
        <v>455</v>
      </c>
      <c r="J70" s="7"/>
      <c r="K70" s="7" t="s">
        <v>523</v>
      </c>
    </row>
    <row r="71" customFormat="false" ht="15" hidden="false" customHeight="true" outlineLevel="0" collapsed="false">
      <c r="A71" s="3" t="s">
        <v>526</v>
      </c>
      <c r="B71" s="7" t="s">
        <v>222</v>
      </c>
      <c r="C71" s="10" t="str">
        <f aca="false">VLOOKUP(B71,Compounds!$A$3:$B$152,2,FALSE())</f>
        <v>Titanium Aluminide</v>
      </c>
      <c r="D71" s="8" t="n">
        <f aca="false">VLOOKUP(B71,Compounds!$A$3:$C$152,3,FALSE())</f>
        <v>3</v>
      </c>
      <c r="E71" s="7" t="s">
        <v>56</v>
      </c>
      <c r="F71" s="10" t="str">
        <f aca="false">VLOOKUP(E71,Compounds!$A$3:$B$152,2,FALSE())</f>
        <v>Aluminum Oxide</v>
      </c>
      <c r="G71" s="7" t="s">
        <v>124</v>
      </c>
      <c r="H71" s="10" t="str">
        <f aca="false">VLOOKUP(G71,Compounds!$A$3:$B$152,2,FALSE())</f>
        <v>Zinc Titanate</v>
      </c>
      <c r="I71" s="7" t="s">
        <v>455</v>
      </c>
      <c r="J71" s="7"/>
      <c r="K71" s="7" t="s">
        <v>523</v>
      </c>
    </row>
    <row r="72" customFormat="false" ht="15" hidden="false" customHeight="true" outlineLevel="0" collapsed="false">
      <c r="A72" s="3" t="s">
        <v>527</v>
      </c>
      <c r="B72" s="7" t="s">
        <v>232</v>
      </c>
      <c r="C72" s="10" t="str">
        <f aca="false">VLOOKUP(B72,Compounds!$A$3:$B$152,2,FALSE())</f>
        <v>Cobalt Aluminate</v>
      </c>
      <c r="D72" s="8" t="n">
        <f aca="false">VLOOKUP(B72,Compounds!$A$3:$C$152,3,FALSE())</f>
        <v>3</v>
      </c>
      <c r="E72" s="7" t="s">
        <v>68</v>
      </c>
      <c r="F72" s="10" t="str">
        <f aca="false">VLOOKUP(E72,Compounds!$A$3:$B$152,2,FALSE())</f>
        <v>Cobalt Chloride</v>
      </c>
      <c r="G72" s="7" t="s">
        <v>135</v>
      </c>
      <c r="H72" s="10" t="str">
        <f aca="false">VLOOKUP(G72,Compounds!$A$3:$B$152,2,FALSE())</f>
        <v>Sodium Aluminate</v>
      </c>
      <c r="I72" s="7" t="s">
        <v>455</v>
      </c>
      <c r="J72" s="7"/>
      <c r="K72" s="7" t="s">
        <v>523</v>
      </c>
    </row>
    <row r="73" customFormat="false" ht="15" hidden="false" customHeight="true" outlineLevel="0" collapsed="false">
      <c r="A73" s="3" t="s">
        <v>528</v>
      </c>
      <c r="B73" s="7" t="s">
        <v>235</v>
      </c>
      <c r="C73" s="10" t="str">
        <f aca="false">VLOOKUP(B73,Compounds!$A$3:$B$152,2,FALSE())</f>
        <v>Nickel Superalloy</v>
      </c>
      <c r="D73" s="8" t="n">
        <f aca="false">VLOOKUP(B73,Compounds!$A$3:$C$152,3,FALSE())</f>
        <v>3</v>
      </c>
      <c r="E73" s="7" t="s">
        <v>71</v>
      </c>
      <c r="F73" s="10" t="str">
        <f aca="false">VLOOKUP(E73,Compounds!$A$3:$B$152,2,FALSE())</f>
        <v>Nickel Sulfate</v>
      </c>
      <c r="G73" s="7" t="s">
        <v>202</v>
      </c>
      <c r="H73" s="10" t="str">
        <f aca="false">VLOOKUP(G73,Compounds!$A$3:$B$152,2,FALSE())</f>
        <v>Chromium Nitride</v>
      </c>
      <c r="I73" s="7" t="s">
        <v>455</v>
      </c>
      <c r="J73" s="7"/>
      <c r="K73" s="7" t="s">
        <v>523</v>
      </c>
    </row>
    <row r="74" customFormat="false" ht="15" hidden="false" customHeight="true" outlineLevel="0" collapsed="false">
      <c r="A74" s="3" t="s">
        <v>529</v>
      </c>
      <c r="B74" s="7" t="s">
        <v>238</v>
      </c>
      <c r="C74" s="10" t="str">
        <f aca="false">VLOOKUP(B74,Compounds!$A$3:$B$152,2,FALSE())</f>
        <v>Lanthanum Aluminate</v>
      </c>
      <c r="D74" s="8" t="n">
        <f aca="false">VLOOKUP(B74,Compounds!$A$3:$C$152,3,FALSE())</f>
        <v>3</v>
      </c>
      <c r="E74" s="7" t="s">
        <v>113</v>
      </c>
      <c r="F74" s="10" t="str">
        <f aca="false">VLOOKUP(E74,Compounds!$A$3:$B$152,2,FALSE())</f>
        <v>Lanthanum Carbonate</v>
      </c>
      <c r="G74" s="7" t="s">
        <v>166</v>
      </c>
      <c r="H74" s="10" t="str">
        <f aca="false">VLOOKUP(G74,Compounds!$A$3:$B$152,2,FALSE())</f>
        <v>Aluminum Nitride</v>
      </c>
      <c r="I74" s="7" t="s">
        <v>455</v>
      </c>
      <c r="J74" s="7"/>
      <c r="K74" s="7" t="s">
        <v>523</v>
      </c>
    </row>
    <row r="75" customFormat="false" ht="15" hidden="false" customHeight="true" outlineLevel="0" collapsed="false">
      <c r="A75" s="3" t="s">
        <v>530</v>
      </c>
      <c r="B75" s="7" t="s">
        <v>241</v>
      </c>
      <c r="C75" s="10" t="str">
        <f aca="false">VLOOKUP(B75,Compounds!$A$3:$B$152,2,FALSE())</f>
        <v>Yttrium Garnet</v>
      </c>
      <c r="D75" s="8" t="n">
        <f aca="false">VLOOKUP(B75,Compounds!$A$3:$C$152,3,FALSE())</f>
        <v>3</v>
      </c>
      <c r="E75" s="7" t="s">
        <v>119</v>
      </c>
      <c r="F75" s="10" t="str">
        <f aca="false">VLOOKUP(E75,Compounds!$A$3:$B$152,2,FALSE())</f>
        <v>Calcium Fluoride</v>
      </c>
      <c r="G75" s="7" t="s">
        <v>207</v>
      </c>
      <c r="H75" s="10" t="str">
        <f aca="false">VLOOKUP(G75,Compounds!$A$3:$B$152,2,FALSE())</f>
        <v>Yttrium Aluminate</v>
      </c>
      <c r="I75" s="7" t="s">
        <v>455</v>
      </c>
      <c r="J75" s="7"/>
      <c r="K75" s="7" t="s">
        <v>523</v>
      </c>
    </row>
    <row r="76" customFormat="false" ht="15" hidden="false" customHeight="true" outlineLevel="0" collapsed="false">
      <c r="A76" s="3" t="s">
        <v>531</v>
      </c>
      <c r="B76" s="7" t="s">
        <v>243</v>
      </c>
      <c r="C76" s="10" t="str">
        <f aca="false">VLOOKUP(B76,Compounds!$A$3:$B$152,2,FALSE())</f>
        <v>Bismuth Vanadate</v>
      </c>
      <c r="D76" s="8" t="n">
        <f aca="false">VLOOKUP(B76,Compounds!$A$3:$C$152,3,FALSE())</f>
        <v>3</v>
      </c>
      <c r="E76" s="7" t="s">
        <v>104</v>
      </c>
      <c r="F76" s="10" t="str">
        <f aca="false">VLOOKUP(E76,Compounds!$A$3:$B$152,2,FALSE())</f>
        <v>Bismuth Oxide</v>
      </c>
      <c r="G76" s="7" t="s">
        <v>200</v>
      </c>
      <c r="H76" s="10" t="str">
        <f aca="false">VLOOKUP(G76,Compounds!$A$3:$B$152,2,FALSE())</f>
        <v>Vanadium Carbide</v>
      </c>
      <c r="I76" s="7" t="s">
        <v>455</v>
      </c>
      <c r="J76" s="7"/>
      <c r="K76" s="7" t="s">
        <v>523</v>
      </c>
    </row>
    <row r="77" customFormat="false" ht="15" hidden="false" customHeight="true" outlineLevel="0" collapsed="false">
      <c r="A77" s="3" t="s">
        <v>532</v>
      </c>
      <c r="B77" s="7" t="s">
        <v>246</v>
      </c>
      <c r="C77" s="10" t="str">
        <f aca="false">VLOOKUP(B77,Compounds!$A$3:$B$152,2,FALSE())</f>
        <v>Molybdenum Disilicide</v>
      </c>
      <c r="D77" s="8" t="n">
        <f aca="false">VLOOKUP(B77,Compounds!$A$3:$C$152,3,FALSE())</f>
        <v>3</v>
      </c>
      <c r="E77" s="7" t="s">
        <v>95</v>
      </c>
      <c r="F77" s="10" t="str">
        <f aca="false">VLOOKUP(E77,Compounds!$A$3:$B$152,2,FALSE())</f>
        <v>Molybdenum Trioxide</v>
      </c>
      <c r="G77" s="7" t="s">
        <v>164</v>
      </c>
      <c r="H77" s="10" t="str">
        <f aca="false">VLOOKUP(G77,Compounds!$A$3:$B$152,2,FALSE())</f>
        <v>Silicon Carbide</v>
      </c>
      <c r="I77" s="7" t="s">
        <v>455</v>
      </c>
      <c r="J77" s="7"/>
      <c r="K77" s="7" t="s">
        <v>523</v>
      </c>
    </row>
    <row r="78" customFormat="false" ht="15" hidden="false" customHeight="true" outlineLevel="0" collapsed="false">
      <c r="A78" s="3" t="s">
        <v>533</v>
      </c>
      <c r="B78" s="7" t="s">
        <v>249</v>
      </c>
      <c r="C78" s="10" t="str">
        <f aca="false">VLOOKUP(B78,Compounds!$A$3:$B$152,2,FALSE())</f>
        <v>Chromium Silicide</v>
      </c>
      <c r="D78" s="8" t="n">
        <f aca="false">VLOOKUP(B78,Compounds!$A$3:$C$152,3,FALSE())</f>
        <v>3</v>
      </c>
      <c r="E78" s="7" t="s">
        <v>83</v>
      </c>
      <c r="F78" s="10" t="str">
        <f aca="false">VLOOKUP(E78,Compounds!$A$3:$B$152,2,FALSE())</f>
        <v>Chromium Oxide</v>
      </c>
      <c r="G78" s="7" t="s">
        <v>170</v>
      </c>
      <c r="H78" s="10" t="str">
        <f aca="false">VLOOKUP(G78,Compounds!$A$3:$B$152,2,FALSE())</f>
        <v>Potassium Silicate</v>
      </c>
      <c r="I78" s="7" t="s">
        <v>455</v>
      </c>
      <c r="J78" s="7"/>
      <c r="K78" s="7" t="s">
        <v>523</v>
      </c>
    </row>
    <row r="79" customFormat="false" ht="15" hidden="false" customHeight="true" outlineLevel="0" collapsed="false">
      <c r="A79" s="3" t="s">
        <v>534</v>
      </c>
      <c r="B79" s="7" t="s">
        <v>252</v>
      </c>
      <c r="C79" s="10" t="str">
        <f aca="false">VLOOKUP(B79,Compounds!$A$3:$B$152,2,FALSE())</f>
        <v>Manganese Bronze</v>
      </c>
      <c r="D79" s="8" t="n">
        <f aca="false">VLOOKUP(B79,Compounds!$A$3:$C$152,3,FALSE())</f>
        <v>3</v>
      </c>
      <c r="E79" s="7" t="s">
        <v>65</v>
      </c>
      <c r="F79" s="10" t="str">
        <f aca="false">VLOOKUP(E79,Compounds!$A$3:$B$152,2,FALSE())</f>
        <v>Manganese Dioxide</v>
      </c>
      <c r="G79" s="7" t="s">
        <v>173</v>
      </c>
      <c r="H79" s="10" t="str">
        <f aca="false">VLOOKUP(G79,Compounds!$A$3:$B$152,2,FALSE())</f>
        <v>Copper Aluminate</v>
      </c>
      <c r="I79" s="7" t="s">
        <v>455</v>
      </c>
      <c r="J79" s="7"/>
      <c r="K79" s="7" t="s">
        <v>523</v>
      </c>
    </row>
    <row r="80" customFormat="false" ht="15" hidden="false" customHeight="true" outlineLevel="0" collapsed="false">
      <c r="A80" s="3" t="s">
        <v>535</v>
      </c>
      <c r="B80" s="7" t="s">
        <v>255</v>
      </c>
      <c r="C80" s="10" t="str">
        <f aca="false">VLOOKUP(B80,Compounds!$A$3:$B$152,2,FALSE())</f>
        <v>Phosphor Bronze</v>
      </c>
      <c r="D80" s="8" t="n">
        <f aca="false">VLOOKUP(B80,Compounds!$A$3:$C$152,3,FALSE())</f>
        <v>3</v>
      </c>
      <c r="E80" s="7" t="s">
        <v>121</v>
      </c>
      <c r="F80" s="10" t="str">
        <f aca="false">VLOOKUP(E80,Compounds!$A$3:$B$152,2,FALSE())</f>
        <v>Sodium Phosphate</v>
      </c>
      <c r="G80" s="7" t="s">
        <v>139</v>
      </c>
      <c r="H80" s="10" t="str">
        <f aca="false">VLOOKUP(G80,Compounds!$A$3:$B$152,2,FALSE())</f>
        <v>Copper Carbonate</v>
      </c>
      <c r="I80" s="7" t="s">
        <v>455</v>
      </c>
      <c r="J80" s="7"/>
      <c r="K80" s="7" t="s">
        <v>523</v>
      </c>
    </row>
    <row r="81" customFormat="false" ht="15" hidden="false" customHeight="true" outlineLevel="0" collapsed="false">
      <c r="A81" s="3" t="s">
        <v>536</v>
      </c>
      <c r="B81" s="7" t="s">
        <v>258</v>
      </c>
      <c r="C81" s="10" t="str">
        <f aca="false">VLOOKUP(B81,Compounds!$A$3:$B$152,2,FALSE())</f>
        <v>Magnesium Spinel</v>
      </c>
      <c r="D81" s="8" t="n">
        <f aca="false">VLOOKUP(B81,Compounds!$A$3:$C$152,3,FALSE())</f>
        <v>3</v>
      </c>
      <c r="E81" s="7" t="s">
        <v>50</v>
      </c>
      <c r="F81" s="10" t="str">
        <f aca="false">VLOOKUP(E81,Compounds!$A$3:$B$152,2,FALSE())</f>
        <v>Magnesium Chloride</v>
      </c>
      <c r="G81" s="7" t="s">
        <v>135</v>
      </c>
      <c r="H81" s="10" t="str">
        <f aca="false">VLOOKUP(G81,Compounds!$A$3:$B$152,2,FALSE())</f>
        <v>Sodium Aluminate</v>
      </c>
      <c r="I81" s="7" t="s">
        <v>455</v>
      </c>
      <c r="J81" s="7"/>
      <c r="K81" s="7" t="s">
        <v>523</v>
      </c>
    </row>
    <row r="82" customFormat="false" ht="15" hidden="false" customHeight="true" outlineLevel="0" collapsed="false">
      <c r="A82" s="3" t="s">
        <v>537</v>
      </c>
      <c r="B82" s="7" t="s">
        <v>261</v>
      </c>
      <c r="C82" s="10" t="str">
        <f aca="false">VLOOKUP(B82,Compounds!$A$3:$B$152,2,FALSE())</f>
        <v>Lithium Titanate Spinel</v>
      </c>
      <c r="D82" s="8" t="n">
        <f aca="false">VLOOKUP(B82,Compounds!$A$3:$C$152,3,FALSE())</f>
        <v>3</v>
      </c>
      <c r="E82" s="7" t="s">
        <v>80</v>
      </c>
      <c r="F82" s="10" t="str">
        <f aca="false">VLOOKUP(E82,Compounds!$A$3:$B$152,2,FALSE())</f>
        <v>Lithium Carbonate</v>
      </c>
      <c r="G82" s="7" t="s">
        <v>145</v>
      </c>
      <c r="H82" s="10" t="str">
        <f aca="false">VLOOKUP(G82,Compounds!$A$3:$B$152,2,FALSE())</f>
        <v>Magnesium Titanate</v>
      </c>
      <c r="I82" s="7" t="s">
        <v>455</v>
      </c>
      <c r="J82" s="7"/>
      <c r="K82" s="7" t="s">
        <v>523</v>
      </c>
    </row>
    <row r="83" customFormat="false" ht="15" hidden="false" customHeight="true" outlineLevel="0" collapsed="false">
      <c r="A83" s="3" t="s">
        <v>538</v>
      </c>
      <c r="B83" s="7" t="s">
        <v>264</v>
      </c>
      <c r="C83" s="10" t="str">
        <f aca="false">VLOOKUP(B83,Compounds!$A$3:$B$152,2,FALSE())</f>
        <v>Barium Zirconate</v>
      </c>
      <c r="D83" s="8" t="n">
        <f aca="false">VLOOKUP(B83,Compounds!$A$3:$C$152,3,FALSE())</f>
        <v>3</v>
      </c>
      <c r="E83" s="7" t="s">
        <v>74</v>
      </c>
      <c r="F83" s="10" t="str">
        <f aca="false">VLOOKUP(E83,Compounds!$A$3:$B$152,2,FALSE())</f>
        <v>Barium Carbonate</v>
      </c>
      <c r="G83" s="7" t="s">
        <v>182</v>
      </c>
      <c r="H83" s="10" t="str">
        <f aca="false">VLOOKUP(G83,Compounds!$A$3:$B$152,2,FALSE())</f>
        <v>Calcium Zirconate</v>
      </c>
      <c r="I83" s="7" t="s">
        <v>455</v>
      </c>
      <c r="J83" s="7"/>
      <c r="K83" s="7" t="s">
        <v>523</v>
      </c>
    </row>
    <row r="84" customFormat="false" ht="15" hidden="false" customHeight="true" outlineLevel="0" collapsed="false">
      <c r="A84" s="3" t="s">
        <v>539</v>
      </c>
      <c r="B84" s="7" t="s">
        <v>267</v>
      </c>
      <c r="C84" s="10" t="str">
        <f aca="false">VLOOKUP(B84,Compounds!$A$3:$B$152,2,FALSE())</f>
        <v>Strontium Ferrite</v>
      </c>
      <c r="D84" s="8" t="n">
        <f aca="false">VLOOKUP(B84,Compounds!$A$3:$C$152,3,FALSE())</f>
        <v>3</v>
      </c>
      <c r="E84" s="7" t="s">
        <v>77</v>
      </c>
      <c r="F84" s="10" t="str">
        <f aca="false">VLOOKUP(E84,Compounds!$A$3:$B$152,2,FALSE())</f>
        <v>Strontium Carbonate</v>
      </c>
      <c r="G84" s="7" t="s">
        <v>158</v>
      </c>
      <c r="H84" s="10" t="str">
        <f aca="false">VLOOKUP(G84,Compounds!$A$3:$B$152,2,FALSE())</f>
        <v>Manganese Ferrite</v>
      </c>
      <c r="I84" s="7" t="s">
        <v>455</v>
      </c>
      <c r="J84" s="7"/>
      <c r="K84" s="7" t="s">
        <v>523</v>
      </c>
    </row>
    <row r="85" customFormat="false" ht="15" hidden="false" customHeight="true" outlineLevel="0" collapsed="false">
      <c r="A85" s="3" t="s">
        <v>540</v>
      </c>
      <c r="B85" s="7" t="s">
        <v>270</v>
      </c>
      <c r="C85" s="10" t="str">
        <f aca="false">VLOOKUP(B85,Compounds!$A$3:$B$152,2,FALSE())</f>
        <v>Zinc Stannate</v>
      </c>
      <c r="D85" s="8" t="n">
        <f aca="false">VLOOKUP(B85,Compounds!$A$3:$C$152,3,FALSE())</f>
        <v>3</v>
      </c>
      <c r="E85" s="7" t="s">
        <v>86</v>
      </c>
      <c r="F85" s="10" t="str">
        <f aca="false">VLOOKUP(E85,Compounds!$A$3:$B$152,2,FALSE())</f>
        <v>Tin Oxide</v>
      </c>
      <c r="G85" s="7" t="s">
        <v>128</v>
      </c>
      <c r="H85" s="10" t="str">
        <f aca="false">VLOOKUP(G85,Compounds!$A$3:$B$152,2,FALSE())</f>
        <v>Zinc Salt</v>
      </c>
      <c r="I85" s="7" t="s">
        <v>455</v>
      </c>
      <c r="J85" s="7"/>
      <c r="K85" s="7" t="s">
        <v>523</v>
      </c>
    </row>
    <row r="86" customFormat="false" ht="15" hidden="false" customHeight="true" outlineLevel="0" collapsed="false">
      <c r="A86" s="3" t="s">
        <v>541</v>
      </c>
      <c r="B86" s="7" t="s">
        <v>273</v>
      </c>
      <c r="C86" s="10" t="str">
        <f aca="false">VLOOKUP(B86,Compounds!$A$3:$B$152,2,FALSE())</f>
        <v>Tungsten Bronze</v>
      </c>
      <c r="D86" s="8" t="n">
        <f aca="false">VLOOKUP(B86,Compounds!$A$3:$C$152,3,FALSE())</f>
        <v>3</v>
      </c>
      <c r="E86" s="7" t="s">
        <v>148</v>
      </c>
      <c r="F86" s="10" t="str">
        <f aca="false">VLOOKUP(E86,Compounds!$A$3:$B$152,2,FALSE())</f>
        <v>Barium Titanate</v>
      </c>
      <c r="G86" s="7" t="s">
        <v>194</v>
      </c>
      <c r="H86" s="10" t="str">
        <f aca="false">VLOOKUP(G86,Compounds!$A$3:$B$152,2,FALSE())</f>
        <v>Sodium Tungstate</v>
      </c>
      <c r="I86" s="7" t="s">
        <v>455</v>
      </c>
      <c r="J86" s="7"/>
      <c r="K86" s="7" t="s">
        <v>542</v>
      </c>
    </row>
    <row r="87" customFormat="false" ht="15" hidden="false" customHeight="true" outlineLevel="0" collapsed="false">
      <c r="A87" s="3" t="s">
        <v>543</v>
      </c>
      <c r="B87" s="7" t="s">
        <v>275</v>
      </c>
      <c r="C87" s="10" t="str">
        <f aca="false">VLOOKUP(B87,Compounds!$A$3:$B$152,2,FALSE())</f>
        <v>Vanadium Steel</v>
      </c>
      <c r="D87" s="8" t="n">
        <f aca="false">VLOOKUP(B87,Compounds!$A$3:$C$152,3,FALSE())</f>
        <v>3</v>
      </c>
      <c r="E87" s="7" t="s">
        <v>161</v>
      </c>
      <c r="F87" s="10" t="str">
        <f aca="false">VLOOKUP(E87,Compounds!$A$3:$B$152,2,FALSE())</f>
        <v>Zinc Ferrite</v>
      </c>
      <c r="G87" s="7" t="s">
        <v>200</v>
      </c>
      <c r="H87" s="10" t="str">
        <f aca="false">VLOOKUP(G87,Compounds!$A$3:$B$152,2,FALSE())</f>
        <v>Vanadium Carbide</v>
      </c>
      <c r="I87" s="7" t="s">
        <v>455</v>
      </c>
      <c r="J87" s="7"/>
      <c r="K87" s="7" t="s">
        <v>542</v>
      </c>
    </row>
    <row r="88" customFormat="false" ht="15" hidden="false" customHeight="true" outlineLevel="0" collapsed="false">
      <c r="A88" s="3" t="s">
        <v>544</v>
      </c>
      <c r="B88" s="7" t="s">
        <v>278</v>
      </c>
      <c r="C88" s="10" t="str">
        <f aca="false">VLOOKUP(B88,Compounds!$A$3:$B$152,2,FALSE())</f>
        <v>Cobalt Ferrite</v>
      </c>
      <c r="D88" s="8" t="n">
        <f aca="false">VLOOKUP(B88,Compounds!$A$3:$C$152,3,FALSE())</f>
        <v>3</v>
      </c>
      <c r="E88" s="7" t="s">
        <v>68</v>
      </c>
      <c r="F88" s="10" t="str">
        <f aca="false">VLOOKUP(E88,Compounds!$A$3:$B$152,2,FALSE())</f>
        <v>Cobalt Chloride</v>
      </c>
      <c r="G88" s="7" t="s">
        <v>176</v>
      </c>
      <c r="H88" s="10" t="str">
        <f aca="false">VLOOKUP(G88,Compounds!$A$3:$B$152,2,FALSE())</f>
        <v>Iron Silicide</v>
      </c>
      <c r="I88" s="7" t="s">
        <v>455</v>
      </c>
      <c r="J88" s="7"/>
      <c r="K88" s="7" t="s">
        <v>523</v>
      </c>
    </row>
    <row r="89" customFormat="false" ht="15" hidden="false" customHeight="true" outlineLevel="0" collapsed="false">
      <c r="A89" s="3" t="s">
        <v>545</v>
      </c>
      <c r="B89" s="7" t="s">
        <v>281</v>
      </c>
      <c r="C89" s="10" t="str">
        <f aca="false">VLOOKUP(B89,Compounds!$A$3:$B$152,2,FALSE())</f>
        <v>Nickel-Titanium Ingot</v>
      </c>
      <c r="D89" s="8" t="n">
        <f aca="false">VLOOKUP(B89,Compounds!$A$3:$C$152,3,FALSE())</f>
        <v>3</v>
      </c>
      <c r="E89" s="7" t="s">
        <v>154</v>
      </c>
      <c r="F89" s="10" t="str">
        <f aca="false">VLOOKUP(E89,Compounds!$A$3:$B$152,2,FALSE())</f>
        <v>Nickel Carbonate</v>
      </c>
      <c r="G89" s="7" t="s">
        <v>168</v>
      </c>
      <c r="H89" s="10" t="str">
        <f aca="false">VLOOKUP(G89,Compounds!$A$3:$B$152,2,FALSE())</f>
        <v>Titanium Carbide</v>
      </c>
      <c r="I89" s="7" t="s">
        <v>455</v>
      </c>
      <c r="J89" s="7"/>
      <c r="K89" s="7" t="s">
        <v>542</v>
      </c>
    </row>
    <row r="90" customFormat="false" ht="15" hidden="false" customHeight="true" outlineLevel="0" collapsed="false">
      <c r="A90" s="3" t="s">
        <v>546</v>
      </c>
      <c r="B90" s="7" t="s">
        <v>284</v>
      </c>
      <c r="C90" s="10" t="str">
        <f aca="false">VLOOKUP(B90,Compounds!$A$3:$B$152,2,FALSE())</f>
        <v>Cerium Zirconate</v>
      </c>
      <c r="D90" s="8" t="n">
        <f aca="false">VLOOKUP(B90,Compounds!$A$3:$C$152,3,FALSE())</f>
        <v>3</v>
      </c>
      <c r="E90" s="7" t="s">
        <v>98</v>
      </c>
      <c r="F90" s="10" t="str">
        <f aca="false">VLOOKUP(E90,Compounds!$A$3:$B$152,2,FALSE())</f>
        <v>Zirconium Silicate</v>
      </c>
      <c r="G90" s="7" t="s">
        <v>204</v>
      </c>
      <c r="H90" s="10" t="str">
        <f aca="false">VLOOKUP(G90,Compounds!$A$3:$B$152,2,FALSE())</f>
        <v>Cerium Phosphate</v>
      </c>
      <c r="I90" s="7" t="s">
        <v>455</v>
      </c>
      <c r="J90" s="7"/>
      <c r="K90" s="7" t="s">
        <v>523</v>
      </c>
    </row>
    <row r="91" customFormat="false" ht="15" hidden="false" customHeight="true" outlineLevel="0" collapsed="false">
      <c r="A91" s="3" t="s">
        <v>547</v>
      </c>
      <c r="B91" s="7" t="s">
        <v>287</v>
      </c>
      <c r="C91" s="10" t="str">
        <f aca="false">VLOOKUP(B91,Compounds!$A$3:$B$152,2,FALSE())</f>
        <v>Calcium Hexaboride</v>
      </c>
      <c r="D91" s="8" t="n">
        <f aca="false">VLOOKUP(B91,Compounds!$A$3:$C$152,3,FALSE())</f>
        <v>3</v>
      </c>
      <c r="E91" s="7" t="s">
        <v>179</v>
      </c>
      <c r="F91" s="10" t="str">
        <f aca="false">VLOOKUP(E91,Compounds!$A$3:$B$152,2,FALSE())</f>
        <v>Magnesium Borate</v>
      </c>
      <c r="G91" s="7" t="s">
        <v>197</v>
      </c>
      <c r="H91" s="10" t="str">
        <f aca="false">VLOOKUP(G91,Compounds!$A$3:$B$152,2,FALSE())</f>
        <v>Calcium Molybdate</v>
      </c>
      <c r="I91" s="7" t="s">
        <v>455</v>
      </c>
      <c r="J91" s="7"/>
      <c r="K91" s="7" t="s">
        <v>542</v>
      </c>
    </row>
    <row r="92" customFormat="false" ht="15" hidden="false" customHeight="true" outlineLevel="0" collapsed="false">
      <c r="A92" s="3" t="s">
        <v>548</v>
      </c>
      <c r="B92" s="7" t="s">
        <v>290</v>
      </c>
      <c r="C92" s="10" t="str">
        <f aca="false">VLOOKUP(B92,Compounds!$A$3:$B$152,2,FALSE())</f>
        <v>Copper Tungstate</v>
      </c>
      <c r="D92" s="8" t="n">
        <f aca="false">VLOOKUP(B92,Compounds!$A$3:$C$152,3,FALSE())</f>
        <v>3</v>
      </c>
      <c r="E92" s="7" t="s">
        <v>89</v>
      </c>
      <c r="F92" s="10" t="str">
        <f aca="false">VLOOKUP(E92,Compounds!$A$3:$B$152,2,FALSE())</f>
        <v>Tungsten Oxide</v>
      </c>
      <c r="G92" s="7" t="s">
        <v>173</v>
      </c>
      <c r="H92" s="10" t="str">
        <f aca="false">VLOOKUP(G92,Compounds!$A$3:$B$152,2,FALSE())</f>
        <v>Copper Aluminate</v>
      </c>
      <c r="I92" s="7" t="s">
        <v>455</v>
      </c>
      <c r="J92" s="7"/>
      <c r="K92" s="7" t="s">
        <v>523</v>
      </c>
    </row>
    <row r="93" customFormat="false" ht="15" hidden="false" customHeight="true" outlineLevel="0" collapsed="false">
      <c r="A93" s="3" t="s">
        <v>549</v>
      </c>
      <c r="B93" s="7" t="s">
        <v>295</v>
      </c>
      <c r="C93" s="10" t="str">
        <f aca="false">VLOOKUP(B93,Compounds!$A$3:$B$152,2,FALSE())</f>
        <v>Sodium Niobate</v>
      </c>
      <c r="D93" s="8" t="n">
        <f aca="false">VLOOKUP(B93,Compounds!$A$3:$C$152,3,FALSE())</f>
        <v>3</v>
      </c>
      <c r="E93" s="7" t="s">
        <v>188</v>
      </c>
      <c r="F93" s="10" t="str">
        <f aca="false">VLOOKUP(E93,Compounds!$A$3:$B$152,2,FALSE())</f>
        <v>Lithium Niobate</v>
      </c>
      <c r="G93" s="7" t="s">
        <v>194</v>
      </c>
      <c r="H93" s="10" t="str">
        <f aca="false">VLOOKUP(G93,Compounds!$A$3:$B$152,2,FALSE())</f>
        <v>Sodium Tungstate</v>
      </c>
      <c r="I93" s="7" t="s">
        <v>455</v>
      </c>
      <c r="J93" s="7"/>
      <c r="K93" s="7" t="s">
        <v>542</v>
      </c>
    </row>
    <row r="94" customFormat="false" ht="15" hidden="false" customHeight="true" outlineLevel="0" collapsed="false">
      <c r="A94" s="3" t="s">
        <v>550</v>
      </c>
      <c r="B94" s="7" t="s">
        <v>298</v>
      </c>
      <c r="C94" s="10" t="str">
        <f aca="false">VLOOKUP(B94,Compounds!$A$3:$B$152,2,FALSE())</f>
        <v>Lanthanum Manganite</v>
      </c>
      <c r="D94" s="8" t="n">
        <f aca="false">VLOOKUP(B94,Compounds!$A$3:$C$152,3,FALSE())</f>
        <v>3</v>
      </c>
      <c r="E94" s="7" t="s">
        <v>113</v>
      </c>
      <c r="F94" s="10" t="str">
        <f aca="false">VLOOKUP(E94,Compounds!$A$3:$B$152,2,FALSE())</f>
        <v>Lanthanum Carbonate</v>
      </c>
      <c r="G94" s="7" t="s">
        <v>158</v>
      </c>
      <c r="H94" s="10" t="str">
        <f aca="false">VLOOKUP(G94,Compounds!$A$3:$B$152,2,FALSE())</f>
        <v>Manganese Ferrite</v>
      </c>
      <c r="I94" s="7" t="s">
        <v>455</v>
      </c>
      <c r="J94" s="7"/>
      <c r="K94" s="7" t="s">
        <v>523</v>
      </c>
    </row>
    <row r="95" customFormat="false" ht="15" hidden="false" customHeight="true" outlineLevel="0" collapsed="false">
      <c r="A95" s="3" t="s">
        <v>551</v>
      </c>
      <c r="B95" s="7" t="s">
        <v>226</v>
      </c>
      <c r="C95" s="10" t="str">
        <f aca="false">VLOOKUP(B95,Compounds!$A$3:$B$152,2,FALSE())</f>
        <v>Zirconium Carbide</v>
      </c>
      <c r="D95" s="8" t="n">
        <f aca="false">VLOOKUP(B95,Compounds!$A$3:$C$152,3,FALSE())</f>
        <v>3</v>
      </c>
      <c r="E95" s="7" t="s">
        <v>151</v>
      </c>
      <c r="F95" s="10" t="str">
        <f aca="false">VLOOKUP(E95,Compounds!$A$3:$B$152,2,FALSE())</f>
        <v>Lithium Phosphate</v>
      </c>
      <c r="G95" s="7" t="s">
        <v>182</v>
      </c>
      <c r="H95" s="10" t="str">
        <f aca="false">VLOOKUP(G95,Compounds!$A$3:$B$152,2,FALSE())</f>
        <v>Calcium Zirconate</v>
      </c>
      <c r="I95" s="7" t="s">
        <v>455</v>
      </c>
      <c r="J95" s="7"/>
      <c r="K95" s="7" t="s">
        <v>542</v>
      </c>
    </row>
    <row r="96" customFormat="false" ht="15" hidden="false" customHeight="true" outlineLevel="0" collapsed="false">
      <c r="A96" s="3" t="s">
        <v>552</v>
      </c>
      <c r="B96" s="7" t="s">
        <v>230</v>
      </c>
      <c r="C96" s="10" t="str">
        <f aca="false">VLOOKUP(B96,Compounds!$A$3:$B$152,2,FALSE())</f>
        <v>Tungsten Carbide</v>
      </c>
      <c r="D96" s="8" t="n">
        <f aca="false">VLOOKUP(B96,Compounds!$A$3:$C$152,3,FALSE())</f>
        <v>3</v>
      </c>
      <c r="E96" s="7" t="s">
        <v>89</v>
      </c>
      <c r="F96" s="10" t="str">
        <f aca="false">VLOOKUP(E96,Compounds!$A$3:$B$152,2,FALSE())</f>
        <v>Tungsten Oxide</v>
      </c>
      <c r="G96" s="7" t="s">
        <v>156</v>
      </c>
      <c r="H96" s="10" t="str">
        <f aca="false">VLOOKUP(G96,Compounds!$A$3:$B$152,2,FALSE())</f>
        <v>Cobalt Sulfide</v>
      </c>
      <c r="I96" s="7" t="s">
        <v>455</v>
      </c>
      <c r="J96" s="7"/>
      <c r="K96" s="7" t="s">
        <v>523</v>
      </c>
    </row>
    <row r="97" customFormat="false" ht="15" hidden="false" customHeight="true" outlineLevel="0" collapsed="false">
      <c r="A97" s="3" t="s">
        <v>553</v>
      </c>
      <c r="B97" s="7" t="s">
        <v>293</v>
      </c>
      <c r="C97" s="10" t="str">
        <f aca="false">VLOOKUP(B97,Compounds!$A$3:$B$152,2,FALSE())</f>
        <v>Niobium Carbide</v>
      </c>
      <c r="D97" s="8" t="n">
        <f aca="false">VLOOKUP(B97,Compounds!$A$3:$C$152,3,FALSE())</f>
        <v>3</v>
      </c>
      <c r="E97" s="7" t="s">
        <v>185</v>
      </c>
      <c r="F97" s="10" t="str">
        <f aca="false">VLOOKUP(E97,Compounds!$A$3:$B$152,2,FALSE())</f>
        <v>Strontium Titanate</v>
      </c>
      <c r="G97" s="7" t="s">
        <v>188</v>
      </c>
      <c r="H97" s="10" t="str">
        <f aca="false">VLOOKUP(G97,Compounds!$A$3:$B$152,2,FALSE())</f>
        <v>Lithium Niobate</v>
      </c>
      <c r="I97" s="7" t="s">
        <v>455</v>
      </c>
      <c r="J97" s="7"/>
      <c r="K97" s="7" t="s">
        <v>542</v>
      </c>
    </row>
    <row r="98" customFormat="false" ht="15" hidden="false" customHeight="true" outlineLevel="0" collapsed="false">
      <c r="A98" s="3" t="s">
        <v>554</v>
      </c>
      <c r="B98" s="7" t="s">
        <v>226</v>
      </c>
      <c r="C98" s="10" t="str">
        <f aca="false">VLOOKUP(B98,Compounds!$A$3:$B$152,2,FALSE())</f>
        <v>Zirconium Carbide</v>
      </c>
      <c r="D98" s="8" t="n">
        <f aca="false">VLOOKUP(B98,Compounds!$A$3:$C$152,3,FALSE())</f>
        <v>3</v>
      </c>
      <c r="E98" s="7" t="s">
        <v>98</v>
      </c>
      <c r="F98" s="10" t="str">
        <f aca="false">VLOOKUP(E98,Compounds!$A$3:$B$152,2,FALSE())</f>
        <v>Zirconium Silicate</v>
      </c>
      <c r="G98" s="7" t="s">
        <v>194</v>
      </c>
      <c r="H98" s="10" t="str">
        <f aca="false">VLOOKUP(G98,Compounds!$A$3:$B$152,2,FALSE())</f>
        <v>Sodium Tungstate</v>
      </c>
      <c r="I98" s="7" t="s">
        <v>555</v>
      </c>
      <c r="J98" s="7" t="s">
        <v>556</v>
      </c>
      <c r="K98" s="7" t="s">
        <v>523</v>
      </c>
    </row>
    <row r="99" customFormat="false" ht="15" hidden="false" customHeight="true" outlineLevel="0" collapsed="false">
      <c r="A99" s="3" t="s">
        <v>557</v>
      </c>
      <c r="B99" s="7" t="s">
        <v>230</v>
      </c>
      <c r="C99" s="10" t="str">
        <f aca="false">VLOOKUP(B99,Compounds!$A$3:$B$152,2,FALSE())</f>
        <v>Tungsten Carbide</v>
      </c>
      <c r="D99" s="8" t="n">
        <f aca="false">VLOOKUP(B99,Compounds!$A$3:$C$152,3,FALSE())</f>
        <v>3</v>
      </c>
      <c r="E99" s="7" t="s">
        <v>98</v>
      </c>
      <c r="F99" s="10" t="str">
        <f aca="false">VLOOKUP(E99,Compounds!$A$3:$B$152,2,FALSE())</f>
        <v>Zirconium Silicate</v>
      </c>
      <c r="G99" s="7" t="s">
        <v>194</v>
      </c>
      <c r="H99" s="10" t="str">
        <f aca="false">VLOOKUP(G99,Compounds!$A$3:$B$152,2,FALSE())</f>
        <v>Sodium Tungstate</v>
      </c>
      <c r="I99" s="7" t="s">
        <v>558</v>
      </c>
      <c r="J99" s="7" t="s">
        <v>556</v>
      </c>
      <c r="K99" s="7" t="s">
        <v>523</v>
      </c>
    </row>
    <row r="100" customFormat="false" ht="15" hidden="false" customHeight="true" outlineLevel="0" collapsed="false">
      <c r="A100" s="3" t="s">
        <v>559</v>
      </c>
      <c r="B100" s="7" t="s">
        <v>293</v>
      </c>
      <c r="C100" s="10" t="str">
        <f aca="false">VLOOKUP(B100,Compounds!$A$3:$B$152,2,FALSE())</f>
        <v>Niobium Carbide</v>
      </c>
      <c r="D100" s="8" t="n">
        <f aca="false">VLOOKUP(B100,Compounds!$A$3:$C$152,3,FALSE())</f>
        <v>3</v>
      </c>
      <c r="E100" s="7" t="s">
        <v>101</v>
      </c>
      <c r="F100" s="10" t="str">
        <f aca="false">VLOOKUP(E100,Compounds!$A$3:$B$152,2,FALSE())</f>
        <v>Niobium Pentoxide</v>
      </c>
      <c r="G100" s="7" t="s">
        <v>182</v>
      </c>
      <c r="H100" s="10" t="str">
        <f aca="false">VLOOKUP(G100,Compounds!$A$3:$B$152,2,FALSE())</f>
        <v>Calcium Zirconate</v>
      </c>
      <c r="I100" s="7" t="s">
        <v>555</v>
      </c>
      <c r="J100" s="7" t="s">
        <v>560</v>
      </c>
      <c r="K100" s="7" t="s">
        <v>523</v>
      </c>
    </row>
    <row r="101" customFormat="false" ht="15" hidden="false" customHeight="true" outlineLevel="0" collapsed="false">
      <c r="A101" s="3" t="s">
        <v>561</v>
      </c>
      <c r="B101" s="7" t="s">
        <v>226</v>
      </c>
      <c r="C101" s="10" t="str">
        <f aca="false">VLOOKUP(B101,Compounds!$A$3:$B$152,2,FALSE())</f>
        <v>Zirconium Carbide</v>
      </c>
      <c r="D101" s="8" t="n">
        <f aca="false">VLOOKUP(B101,Compounds!$A$3:$C$152,3,FALSE())</f>
        <v>3</v>
      </c>
      <c r="E101" s="7" t="s">
        <v>101</v>
      </c>
      <c r="F101" s="10" t="str">
        <f aca="false">VLOOKUP(E101,Compounds!$A$3:$B$152,2,FALSE())</f>
        <v>Niobium Pentoxide</v>
      </c>
      <c r="G101" s="7" t="s">
        <v>182</v>
      </c>
      <c r="H101" s="10" t="str">
        <f aca="false">VLOOKUP(G101,Compounds!$A$3:$B$152,2,FALSE())</f>
        <v>Calcium Zirconate</v>
      </c>
      <c r="I101" s="7" t="s">
        <v>558</v>
      </c>
      <c r="J101" s="7" t="s">
        <v>560</v>
      </c>
      <c r="K101" s="7" t="s">
        <v>523</v>
      </c>
    </row>
    <row r="102" customFormat="false" ht="15" hidden="false" customHeight="true" outlineLevel="0" collapsed="false">
      <c r="A102" s="3" t="s">
        <v>562</v>
      </c>
      <c r="B102" s="7" t="s">
        <v>210</v>
      </c>
      <c r="C102" s="10" t="str">
        <f aca="false">VLOOKUP(B102,Compounds!$A$3:$B$152,2,FALSE())</f>
        <v>Borosilicate Glass</v>
      </c>
      <c r="D102" s="8" t="n">
        <f aca="false">VLOOKUP(B102,Compounds!$A$3:$C$152,3,FALSE())</f>
        <v>3</v>
      </c>
      <c r="E102" s="7" t="s">
        <v>116</v>
      </c>
      <c r="F102" s="10" t="str">
        <f aca="false">VLOOKUP(E102,Compounds!$A$3:$B$152,2,FALSE())</f>
        <v>Sodium Borate</v>
      </c>
      <c r="G102" s="7" t="s">
        <v>164</v>
      </c>
      <c r="H102" s="10" t="str">
        <f aca="false">VLOOKUP(G102,Compounds!$A$3:$B$152,2,FALSE())</f>
        <v>Silicon Carbide</v>
      </c>
      <c r="I102" s="7" t="s">
        <v>455</v>
      </c>
      <c r="J102" s="7"/>
      <c r="K102" s="7" t="s">
        <v>523</v>
      </c>
    </row>
    <row r="103" customFormat="false" ht="15" hidden="false" customHeight="true" outlineLevel="0" collapsed="false">
      <c r="A103" s="3" t="s">
        <v>563</v>
      </c>
      <c r="B103" s="7" t="s">
        <v>214</v>
      </c>
      <c r="C103" s="10" t="str">
        <f aca="false">VLOOKUP(B103,Compounds!$A$3:$B$152,2,FALSE())</f>
        <v>Ferrochrome Alloy</v>
      </c>
      <c r="D103" s="8" t="n">
        <f aca="false">VLOOKUP(B103,Compounds!$A$3:$C$152,3,FALSE())</f>
        <v>3</v>
      </c>
      <c r="E103" s="7" t="s">
        <v>83</v>
      </c>
      <c r="F103" s="10" t="str">
        <f aca="false">VLOOKUP(E103,Compounds!$A$3:$B$152,2,FALSE())</f>
        <v>Chromium Oxide</v>
      </c>
      <c r="G103" s="7" t="s">
        <v>191</v>
      </c>
      <c r="H103" s="10" t="str">
        <f aca="false">VLOOKUP(G103,Compounds!$A$3:$B$152,2,FALSE())</f>
        <v>Barium Ferrite</v>
      </c>
      <c r="I103" s="7" t="s">
        <v>455</v>
      </c>
      <c r="J103" s="7"/>
      <c r="K103" s="7" t="s">
        <v>523</v>
      </c>
    </row>
    <row r="104" customFormat="false" ht="15" hidden="false" customHeight="true" outlineLevel="0" collapsed="false">
      <c r="A104" s="3" t="s">
        <v>564</v>
      </c>
      <c r="B104" s="7" t="s">
        <v>218</v>
      </c>
      <c r="C104" s="10" t="str">
        <f aca="false">VLOOKUP(B104,Compounds!$A$3:$B$152,2,FALSE())</f>
        <v>Cupronickel Matrix</v>
      </c>
      <c r="D104" s="8" t="n">
        <f aca="false">VLOOKUP(B104,Compounds!$A$3:$C$152,3,FALSE())</f>
        <v>3</v>
      </c>
      <c r="E104" s="7" t="s">
        <v>53</v>
      </c>
      <c r="F104" s="10" t="str">
        <f aca="false">VLOOKUP(E104,Compounds!$A$3:$B$152,2,FALSE())</f>
        <v>Copper Sulfate</v>
      </c>
      <c r="G104" s="7" t="s">
        <v>154</v>
      </c>
      <c r="H104" s="10" t="str">
        <f aca="false">VLOOKUP(G104,Compounds!$A$3:$B$152,2,FALSE())</f>
        <v>Nickel Carbonate</v>
      </c>
      <c r="I104" s="7" t="s">
        <v>455</v>
      </c>
      <c r="J104" s="7"/>
      <c r="K104" s="7" t="s">
        <v>523</v>
      </c>
    </row>
    <row r="105" customFormat="false" ht="15" hidden="false" customHeight="true" outlineLevel="0" collapsed="false">
      <c r="A105" s="3" t="s">
        <v>565</v>
      </c>
      <c r="B105" s="7" t="s">
        <v>230</v>
      </c>
      <c r="C105" s="10" t="str">
        <f aca="false">VLOOKUP(B105,Compounds!$A$3:$B$152,2,FALSE())</f>
        <v>Tungsten Carbide</v>
      </c>
      <c r="D105" s="8" t="n">
        <f aca="false">VLOOKUP(B105,Compounds!$A$3:$C$152,3,FALSE())</f>
        <v>3</v>
      </c>
      <c r="E105" s="7" t="s">
        <v>182</v>
      </c>
      <c r="F105" s="10" t="str">
        <f aca="false">VLOOKUP(E105,Compounds!$A$3:$B$152,2,FALSE())</f>
        <v>Calcium Zirconate</v>
      </c>
      <c r="G105" s="7" t="s">
        <v>194</v>
      </c>
      <c r="H105" s="10" t="str">
        <f aca="false">VLOOKUP(G105,Compounds!$A$3:$B$152,2,FALSE())</f>
        <v>Sodium Tungstate</v>
      </c>
      <c r="I105" s="7" t="s">
        <v>555</v>
      </c>
      <c r="J105" s="7" t="s">
        <v>566</v>
      </c>
      <c r="K105" s="7" t="s">
        <v>542</v>
      </c>
    </row>
    <row r="106" customFormat="false" ht="15" hidden="false" customHeight="true" outlineLevel="0" collapsed="false">
      <c r="A106" s="3" t="s">
        <v>567</v>
      </c>
      <c r="B106" s="7" t="s">
        <v>226</v>
      </c>
      <c r="C106" s="10" t="str">
        <f aca="false">VLOOKUP(B106,Compounds!$A$3:$B$152,2,FALSE())</f>
        <v>Zirconium Carbide</v>
      </c>
      <c r="D106" s="8" t="n">
        <f aca="false">VLOOKUP(B106,Compounds!$A$3:$C$152,3,FALSE())</f>
        <v>3</v>
      </c>
      <c r="E106" s="7" t="s">
        <v>182</v>
      </c>
      <c r="F106" s="10" t="str">
        <f aca="false">VLOOKUP(E106,Compounds!$A$3:$B$152,2,FALSE())</f>
        <v>Calcium Zirconate</v>
      </c>
      <c r="G106" s="7" t="s">
        <v>194</v>
      </c>
      <c r="H106" s="10" t="str">
        <f aca="false">VLOOKUP(G106,Compounds!$A$3:$B$152,2,FALSE())</f>
        <v>Sodium Tungstate</v>
      </c>
      <c r="I106" s="7" t="s">
        <v>558</v>
      </c>
      <c r="J106" s="7" t="s">
        <v>566</v>
      </c>
      <c r="K106" s="7" t="s">
        <v>542</v>
      </c>
    </row>
    <row r="107" customFormat="false" ht="15" hidden="false" customHeight="true" outlineLevel="0" collapsed="false">
      <c r="A107" s="3" t="s">
        <v>568</v>
      </c>
      <c r="B107" s="7" t="s">
        <v>293</v>
      </c>
      <c r="C107" s="10" t="str">
        <f aca="false">VLOOKUP(B107,Compounds!$A$3:$B$152,2,FALSE())</f>
        <v>Niobium Carbide</v>
      </c>
      <c r="D107" s="8" t="n">
        <f aca="false">VLOOKUP(B107,Compounds!$A$3:$C$152,3,FALSE())</f>
        <v>3</v>
      </c>
      <c r="E107" s="7" t="s">
        <v>182</v>
      </c>
      <c r="F107" s="10" t="str">
        <f aca="false">VLOOKUP(E107,Compounds!$A$3:$B$152,2,FALSE())</f>
        <v>Calcium Zirconate</v>
      </c>
      <c r="G107" s="7" t="s">
        <v>188</v>
      </c>
      <c r="H107" s="10" t="str">
        <f aca="false">VLOOKUP(G107,Compounds!$A$3:$B$152,2,FALSE())</f>
        <v>Lithium Niobate</v>
      </c>
      <c r="I107" s="7" t="s">
        <v>555</v>
      </c>
      <c r="J107" s="7" t="s">
        <v>569</v>
      </c>
      <c r="K107" s="7" t="s">
        <v>542</v>
      </c>
    </row>
    <row r="108" customFormat="false" ht="15" hidden="false" customHeight="true" outlineLevel="0" collapsed="false">
      <c r="A108" s="3" t="s">
        <v>570</v>
      </c>
      <c r="B108" s="7" t="s">
        <v>226</v>
      </c>
      <c r="C108" s="10" t="str">
        <f aca="false">VLOOKUP(B108,Compounds!$A$3:$B$152,2,FALSE())</f>
        <v>Zirconium Carbide</v>
      </c>
      <c r="D108" s="8" t="n">
        <f aca="false">VLOOKUP(B108,Compounds!$A$3:$C$152,3,FALSE())</f>
        <v>3</v>
      </c>
      <c r="E108" s="7" t="s">
        <v>182</v>
      </c>
      <c r="F108" s="10" t="str">
        <f aca="false">VLOOKUP(E108,Compounds!$A$3:$B$152,2,FALSE())</f>
        <v>Calcium Zirconate</v>
      </c>
      <c r="G108" s="7" t="s">
        <v>188</v>
      </c>
      <c r="H108" s="10" t="str">
        <f aca="false">VLOOKUP(G108,Compounds!$A$3:$B$152,2,FALSE())</f>
        <v>Lithium Niobate</v>
      </c>
      <c r="I108" s="7" t="s">
        <v>558</v>
      </c>
      <c r="J108" s="7" t="s">
        <v>569</v>
      </c>
      <c r="K108" s="7" t="s">
        <v>542</v>
      </c>
    </row>
    <row r="109" customFormat="false" ht="15" hidden="false" customHeight="true" outlineLevel="0" collapsed="false">
      <c r="A109" s="3" t="s">
        <v>571</v>
      </c>
      <c r="B109" s="7" t="s">
        <v>230</v>
      </c>
      <c r="C109" s="10" t="str">
        <f aca="false">VLOOKUP(B109,Compounds!$A$3:$B$152,2,FALSE())</f>
        <v>Tungsten Carbide</v>
      </c>
      <c r="D109" s="8" t="n">
        <f aca="false">VLOOKUP(B109,Compounds!$A$3:$C$152,3,FALSE())</f>
        <v>3</v>
      </c>
      <c r="E109" s="7" t="s">
        <v>194</v>
      </c>
      <c r="F109" s="10" t="str">
        <f aca="false">VLOOKUP(E109,Compounds!$A$3:$B$152,2,FALSE())</f>
        <v>Sodium Tungstate</v>
      </c>
      <c r="G109" s="7" t="s">
        <v>207</v>
      </c>
      <c r="H109" s="10" t="str">
        <f aca="false">VLOOKUP(G109,Compounds!$A$3:$B$152,2,FALSE())</f>
        <v>Yttrium Aluminate</v>
      </c>
      <c r="I109" s="7" t="s">
        <v>555</v>
      </c>
      <c r="J109" s="7" t="s">
        <v>572</v>
      </c>
      <c r="K109" s="7" t="s">
        <v>542</v>
      </c>
    </row>
    <row r="110" customFormat="false" ht="15" hidden="false" customHeight="true" outlineLevel="0" collapsed="false">
      <c r="A110" s="3" t="s">
        <v>573</v>
      </c>
      <c r="B110" s="7" t="s">
        <v>241</v>
      </c>
      <c r="C110" s="10" t="str">
        <f aca="false">VLOOKUP(B110,Compounds!$A$3:$B$152,2,FALSE())</f>
        <v>Yttrium Garnet</v>
      </c>
      <c r="D110" s="8" t="n">
        <f aca="false">VLOOKUP(B110,Compounds!$A$3:$C$152,3,FALSE())</f>
        <v>3</v>
      </c>
      <c r="E110" s="7" t="s">
        <v>194</v>
      </c>
      <c r="F110" s="10" t="str">
        <f aca="false">VLOOKUP(E110,Compounds!$A$3:$B$152,2,FALSE())</f>
        <v>Sodium Tungstate</v>
      </c>
      <c r="G110" s="7" t="s">
        <v>207</v>
      </c>
      <c r="H110" s="10" t="str">
        <f aca="false">VLOOKUP(G110,Compounds!$A$3:$B$152,2,FALSE())</f>
        <v>Yttrium Aluminate</v>
      </c>
      <c r="I110" s="7" t="s">
        <v>558</v>
      </c>
      <c r="J110" s="7" t="s">
        <v>572</v>
      </c>
      <c r="K110" s="7" t="s">
        <v>542</v>
      </c>
    </row>
    <row r="111" customFormat="false" ht="15" hidden="false" customHeight="true" outlineLevel="0" collapsed="false">
      <c r="A111" s="3" t="s">
        <v>574</v>
      </c>
      <c r="B111" s="7" t="s">
        <v>293</v>
      </c>
      <c r="C111" s="10" t="str">
        <f aca="false">VLOOKUP(B111,Compounds!$A$3:$B$152,2,FALSE())</f>
        <v>Niobium Carbide</v>
      </c>
      <c r="D111" s="8" t="n">
        <f aca="false">VLOOKUP(B111,Compounds!$A$3:$C$152,3,FALSE())</f>
        <v>3</v>
      </c>
      <c r="E111" s="7" t="s">
        <v>124</v>
      </c>
      <c r="F111" s="10" t="str">
        <f aca="false">VLOOKUP(E111,Compounds!$A$3:$B$152,2,FALSE())</f>
        <v>Zinc Titanate</v>
      </c>
      <c r="G111" s="7" t="s">
        <v>188</v>
      </c>
      <c r="H111" s="10" t="str">
        <f aca="false">VLOOKUP(G111,Compounds!$A$3:$B$152,2,FALSE())</f>
        <v>Lithium Niobate</v>
      </c>
      <c r="I111" s="7" t="s">
        <v>555</v>
      </c>
      <c r="J111" s="7" t="s">
        <v>575</v>
      </c>
      <c r="K111" s="7" t="s">
        <v>542</v>
      </c>
    </row>
    <row r="112" customFormat="false" ht="15" hidden="false" customHeight="true" outlineLevel="0" collapsed="false">
      <c r="A112" s="3" t="s">
        <v>576</v>
      </c>
      <c r="B112" s="7" t="s">
        <v>261</v>
      </c>
      <c r="C112" s="10" t="str">
        <f aca="false">VLOOKUP(B112,Compounds!$A$3:$B$152,2,FALSE())</f>
        <v>Lithium Titanate Spinel</v>
      </c>
      <c r="D112" s="8" t="n">
        <f aca="false">VLOOKUP(B112,Compounds!$A$3:$C$152,3,FALSE())</f>
        <v>3</v>
      </c>
      <c r="E112" s="7" t="s">
        <v>124</v>
      </c>
      <c r="F112" s="10" t="str">
        <f aca="false">VLOOKUP(E112,Compounds!$A$3:$B$152,2,FALSE())</f>
        <v>Zinc Titanate</v>
      </c>
      <c r="G112" s="7" t="s">
        <v>188</v>
      </c>
      <c r="H112" s="10" t="str">
        <f aca="false">VLOOKUP(G112,Compounds!$A$3:$B$152,2,FALSE())</f>
        <v>Lithium Niobate</v>
      </c>
      <c r="I112" s="7" t="s">
        <v>558</v>
      </c>
      <c r="J112" s="7" t="s">
        <v>575</v>
      </c>
      <c r="K112" s="7" t="s">
        <v>542</v>
      </c>
    </row>
    <row r="113" customFormat="false" ht="15" hidden="false" customHeight="true" outlineLevel="0" collapsed="false">
      <c r="A113" s="3" t="s">
        <v>577</v>
      </c>
      <c r="B113" s="7" t="s">
        <v>230</v>
      </c>
      <c r="C113" s="10" t="str">
        <f aca="false">VLOOKUP(B113,Compounds!$A$3:$B$152,2,FALSE())</f>
        <v>Tungsten Carbide</v>
      </c>
      <c r="D113" s="8" t="n">
        <f aca="false">VLOOKUP(B113,Compounds!$A$3:$C$152,3,FALSE())</f>
        <v>3</v>
      </c>
      <c r="E113" s="7" t="s">
        <v>128</v>
      </c>
      <c r="F113" s="10" t="str">
        <f aca="false">VLOOKUP(E113,Compounds!$A$3:$B$152,2,FALSE())</f>
        <v>Zinc Salt</v>
      </c>
      <c r="G113" s="7" t="s">
        <v>194</v>
      </c>
      <c r="H113" s="10" t="str">
        <f aca="false">VLOOKUP(G113,Compounds!$A$3:$B$152,2,FALSE())</f>
        <v>Sodium Tungstate</v>
      </c>
      <c r="I113" s="7" t="s">
        <v>555</v>
      </c>
      <c r="J113" s="7" t="s">
        <v>578</v>
      </c>
      <c r="K113" s="7" t="s">
        <v>542</v>
      </c>
    </row>
    <row r="114" customFormat="false" ht="15" hidden="false" customHeight="true" outlineLevel="0" collapsed="false">
      <c r="A114" s="3" t="s">
        <v>579</v>
      </c>
      <c r="B114" s="7" t="s">
        <v>273</v>
      </c>
      <c r="C114" s="10" t="str">
        <f aca="false">VLOOKUP(B114,Compounds!$A$3:$B$152,2,FALSE())</f>
        <v>Tungsten Bronze</v>
      </c>
      <c r="D114" s="8" t="n">
        <f aca="false">VLOOKUP(B114,Compounds!$A$3:$C$152,3,FALSE())</f>
        <v>3</v>
      </c>
      <c r="E114" s="7" t="s">
        <v>128</v>
      </c>
      <c r="F114" s="10" t="str">
        <f aca="false">VLOOKUP(E114,Compounds!$A$3:$B$152,2,FALSE())</f>
        <v>Zinc Salt</v>
      </c>
      <c r="G114" s="7" t="s">
        <v>194</v>
      </c>
      <c r="H114" s="10" t="str">
        <f aca="false">VLOOKUP(G114,Compounds!$A$3:$B$152,2,FALSE())</f>
        <v>Sodium Tungstate</v>
      </c>
      <c r="I114" s="7" t="s">
        <v>558</v>
      </c>
      <c r="J114" s="7" t="s">
        <v>578</v>
      </c>
      <c r="K114" s="7" t="s">
        <v>542</v>
      </c>
    </row>
    <row r="115" customFormat="false" ht="15" hidden="false" customHeight="true" outlineLevel="0" collapsed="false">
      <c r="A115" s="3" t="s">
        <v>580</v>
      </c>
      <c r="B115" s="7" t="s">
        <v>222</v>
      </c>
      <c r="C115" s="10" t="str">
        <f aca="false">VLOOKUP(B115,Compounds!$A$3:$B$152,2,FALSE())</f>
        <v>Titanium Aluminide</v>
      </c>
      <c r="D115" s="8" t="n">
        <f aca="false">VLOOKUP(B115,Compounds!$A$3:$C$152,3,FALSE())</f>
        <v>3</v>
      </c>
      <c r="E115" s="7" t="s">
        <v>145</v>
      </c>
      <c r="F115" s="10" t="str">
        <f aca="false">VLOOKUP(E115,Compounds!$A$3:$B$152,2,FALSE())</f>
        <v>Magnesium Titanate</v>
      </c>
      <c r="G115" s="7" t="s">
        <v>166</v>
      </c>
      <c r="H115" s="10" t="str">
        <f aca="false">VLOOKUP(G115,Compounds!$A$3:$B$152,2,FALSE())</f>
        <v>Aluminum Nitride</v>
      </c>
      <c r="I115" s="7" t="s">
        <v>455</v>
      </c>
      <c r="J115" s="7"/>
      <c r="K115" s="7" t="s">
        <v>542</v>
      </c>
    </row>
    <row r="116" customFormat="false" ht="15" hidden="false" customHeight="true" outlineLevel="0" collapsed="false">
      <c r="A116" s="3" t="s">
        <v>581</v>
      </c>
      <c r="B116" s="7" t="s">
        <v>232</v>
      </c>
      <c r="C116" s="10" t="str">
        <f aca="false">VLOOKUP(B116,Compounds!$A$3:$B$152,2,FALSE())</f>
        <v>Cobalt Aluminate</v>
      </c>
      <c r="D116" s="8" t="n">
        <f aca="false">VLOOKUP(B116,Compounds!$A$3:$C$152,3,FALSE())</f>
        <v>3</v>
      </c>
      <c r="E116" s="7" t="s">
        <v>135</v>
      </c>
      <c r="F116" s="10" t="str">
        <f aca="false">VLOOKUP(E116,Compounds!$A$3:$B$152,2,FALSE())</f>
        <v>Sodium Aluminate</v>
      </c>
      <c r="G116" s="7" t="s">
        <v>156</v>
      </c>
      <c r="H116" s="10" t="str">
        <f aca="false">VLOOKUP(G116,Compounds!$A$3:$B$152,2,FALSE())</f>
        <v>Cobalt Sulfide</v>
      </c>
      <c r="I116" s="7" t="s">
        <v>455</v>
      </c>
      <c r="J116" s="7"/>
      <c r="K116" s="7" t="s">
        <v>542</v>
      </c>
    </row>
    <row r="117" customFormat="false" ht="15" hidden="false" customHeight="true" outlineLevel="0" collapsed="false">
      <c r="A117" s="3" t="s">
        <v>582</v>
      </c>
      <c r="B117" s="7" t="s">
        <v>235</v>
      </c>
      <c r="C117" s="10" t="str">
        <f aca="false">VLOOKUP(B117,Compounds!$A$3:$B$152,2,FALSE())</f>
        <v>Nickel Superalloy</v>
      </c>
      <c r="D117" s="8" t="n">
        <f aca="false">VLOOKUP(B117,Compounds!$A$3:$C$152,3,FALSE())</f>
        <v>3</v>
      </c>
      <c r="E117" s="7" t="s">
        <v>154</v>
      </c>
      <c r="F117" s="10" t="str">
        <f aca="false">VLOOKUP(E117,Compounds!$A$3:$B$152,2,FALSE())</f>
        <v>Nickel Carbonate</v>
      </c>
      <c r="G117" s="7" t="s">
        <v>202</v>
      </c>
      <c r="H117" s="10" t="str">
        <f aca="false">VLOOKUP(G117,Compounds!$A$3:$B$152,2,FALSE())</f>
        <v>Chromium Nitride</v>
      </c>
      <c r="I117" s="7" t="s">
        <v>455</v>
      </c>
      <c r="J117" s="7"/>
      <c r="K117" s="7" t="s">
        <v>542</v>
      </c>
    </row>
    <row r="118" customFormat="false" ht="15" hidden="false" customHeight="true" outlineLevel="0" collapsed="false">
      <c r="A118" s="3" t="s">
        <v>583</v>
      </c>
      <c r="B118" s="7" t="s">
        <v>315</v>
      </c>
      <c r="C118" s="10" t="str">
        <f aca="false">VLOOKUP(B118,Compounds!$A$3:$B$152,2,FALSE())</f>
        <v>Amorphous Ferrosilicon</v>
      </c>
      <c r="D118" s="8" t="n">
        <f aca="false">VLOOKUP(B118,Compounds!$A$3:$C$152,3,FALSE())</f>
        <v>4</v>
      </c>
      <c r="E118" s="7" t="s">
        <v>131</v>
      </c>
      <c r="F118" s="10" t="str">
        <f aca="false">VLOOKUP(E118,Compounds!$A$3:$B$152,2,FALSE())</f>
        <v>Calcium Silicate</v>
      </c>
      <c r="G118" s="7" t="s">
        <v>214</v>
      </c>
      <c r="H118" s="10" t="str">
        <f aca="false">VLOOKUP(G118,Compounds!$A$3:$B$152,2,FALSE())</f>
        <v>Ferrochrome Alloy</v>
      </c>
      <c r="I118" s="7" t="s">
        <v>455</v>
      </c>
      <c r="J118" s="7"/>
      <c r="K118" s="7" t="s">
        <v>584</v>
      </c>
    </row>
    <row r="119" customFormat="false" ht="15" hidden="false" customHeight="true" outlineLevel="0" collapsed="false">
      <c r="A119" s="3" t="s">
        <v>585</v>
      </c>
      <c r="B119" s="7" t="s">
        <v>330</v>
      </c>
      <c r="C119" s="10" t="str">
        <f aca="false">VLOOKUP(B119,Compounds!$A$3:$B$152,2,FALSE())</f>
        <v>Metallic Glass</v>
      </c>
      <c r="D119" s="8" t="n">
        <f aca="false">VLOOKUP(B119,Compounds!$A$3:$C$152,3,FALSE())</f>
        <v>4</v>
      </c>
      <c r="E119" s="7" t="s">
        <v>139</v>
      </c>
      <c r="F119" s="10" t="str">
        <f aca="false">VLOOKUP(E119,Compounds!$A$3:$B$152,2,FALSE())</f>
        <v>Copper Carbonate</v>
      </c>
      <c r="G119" s="7" t="s">
        <v>226</v>
      </c>
      <c r="H119" s="10" t="str">
        <f aca="false">VLOOKUP(G119,Compounds!$A$3:$B$152,2,FALSE())</f>
        <v>Zirconium Carbide</v>
      </c>
      <c r="I119" s="7" t="s">
        <v>455</v>
      </c>
      <c r="J119" s="7"/>
      <c r="K119" s="7" t="s">
        <v>584</v>
      </c>
    </row>
    <row r="120" customFormat="false" ht="15" hidden="false" customHeight="true" outlineLevel="0" collapsed="false">
      <c r="A120" s="3" t="s">
        <v>586</v>
      </c>
      <c r="B120" s="7" t="s">
        <v>333</v>
      </c>
      <c r="C120" s="10" t="str">
        <f aca="false">VLOOKUP(B120,Compounds!$A$3:$B$152,2,FALSE())</f>
        <v>Shape-Memory Nitinol</v>
      </c>
      <c r="D120" s="8" t="n">
        <f aca="false">VLOOKUP(B120,Compounds!$A$3:$C$152,3,FALSE())</f>
        <v>4</v>
      </c>
      <c r="E120" s="7" t="s">
        <v>142</v>
      </c>
      <c r="F120" s="10" t="str">
        <f aca="false">VLOOKUP(E120,Compounds!$A$3:$B$152,2,FALSE())</f>
        <v>Iron Phosphate</v>
      </c>
      <c r="G120" s="7" t="s">
        <v>281</v>
      </c>
      <c r="H120" s="10" t="str">
        <f aca="false">VLOOKUP(G120,Compounds!$A$3:$B$152,2,FALSE())</f>
        <v>Nickel-Titanium Ingot</v>
      </c>
      <c r="I120" s="7" t="s">
        <v>455</v>
      </c>
      <c r="J120" s="7"/>
      <c r="K120" s="7" t="s">
        <v>584</v>
      </c>
    </row>
    <row r="121" customFormat="false" ht="15" hidden="false" customHeight="true" outlineLevel="0" collapsed="false">
      <c r="A121" s="3" t="s">
        <v>587</v>
      </c>
      <c r="B121" s="7" t="s">
        <v>343</v>
      </c>
      <c r="C121" s="10" t="str">
        <f aca="false">VLOOKUP(B121,Compounds!$A$3:$B$152,2,FALSE())</f>
        <v>Photoluminescent Phosphor</v>
      </c>
      <c r="D121" s="8" t="n">
        <f aca="false">VLOOKUP(B121,Compounds!$A$3:$C$152,3,FALSE())</f>
        <v>4</v>
      </c>
      <c r="E121" s="7" t="s">
        <v>204</v>
      </c>
      <c r="F121" s="10" t="str">
        <f aca="false">VLOOKUP(E121,Compounds!$A$3:$B$152,2,FALSE())</f>
        <v>Cerium Phosphate</v>
      </c>
      <c r="G121" s="7" t="s">
        <v>241</v>
      </c>
      <c r="H121" s="10" t="str">
        <f aca="false">VLOOKUP(G121,Compounds!$A$3:$B$152,2,FALSE())</f>
        <v>Yttrium Garnet</v>
      </c>
      <c r="I121" s="7" t="s">
        <v>455</v>
      </c>
      <c r="J121" s="7"/>
      <c r="K121" s="7" t="s">
        <v>584</v>
      </c>
    </row>
    <row r="122" customFormat="false" ht="15" hidden="false" customHeight="true" outlineLevel="0" collapsed="false">
      <c r="A122" s="3" t="s">
        <v>588</v>
      </c>
      <c r="B122" s="7" t="s">
        <v>346</v>
      </c>
      <c r="C122" s="10" t="str">
        <f aca="false">VLOOKUP(B122,Compounds!$A$3:$B$152,2,FALSE())</f>
        <v>Dielectric Ceramite</v>
      </c>
      <c r="D122" s="8" t="n">
        <f aca="false">VLOOKUP(B122,Compounds!$A$3:$C$152,3,FALSE())</f>
        <v>4</v>
      </c>
      <c r="E122" s="7" t="s">
        <v>148</v>
      </c>
      <c r="F122" s="10" t="str">
        <f aca="false">VLOOKUP(E122,Compounds!$A$3:$B$152,2,FALSE())</f>
        <v>Barium Titanate</v>
      </c>
      <c r="G122" s="7" t="s">
        <v>210</v>
      </c>
      <c r="H122" s="10" t="str">
        <f aca="false">VLOOKUP(G122,Compounds!$A$3:$B$152,2,FALSE())</f>
        <v>Borosilicate Glass</v>
      </c>
      <c r="I122" s="7" t="s">
        <v>455</v>
      </c>
      <c r="J122" s="7"/>
      <c r="K122" s="7" t="s">
        <v>584</v>
      </c>
    </row>
    <row r="123" customFormat="false" ht="15" hidden="false" customHeight="true" outlineLevel="0" collapsed="false">
      <c r="A123" s="3" t="s">
        <v>589</v>
      </c>
      <c r="B123" s="7" t="s">
        <v>354</v>
      </c>
      <c r="C123" s="10" t="str">
        <f aca="false">VLOOKUP(B123,Compounds!$A$3:$B$152,2,FALSE())</f>
        <v>Magnetocaloric Alloy</v>
      </c>
      <c r="D123" s="8" t="n">
        <f aca="false">VLOOKUP(B123,Compounds!$A$3:$C$152,3,FALSE())</f>
        <v>4</v>
      </c>
      <c r="E123" s="7" t="s">
        <v>161</v>
      </c>
      <c r="F123" s="10" t="str">
        <f aca="false">VLOOKUP(E123,Compounds!$A$3:$B$152,2,FALSE())</f>
        <v>Zinc Ferrite</v>
      </c>
      <c r="G123" s="7" t="s">
        <v>238</v>
      </c>
      <c r="H123" s="10" t="str">
        <f aca="false">VLOOKUP(G123,Compounds!$A$3:$B$152,2,FALSE())</f>
        <v>Lanthanum Aluminate</v>
      </c>
      <c r="I123" s="7" t="s">
        <v>455</v>
      </c>
      <c r="J123" s="7"/>
      <c r="K123" s="7" t="s">
        <v>584</v>
      </c>
    </row>
    <row r="124" customFormat="false" ht="15" hidden="false" customHeight="true" outlineLevel="0" collapsed="false">
      <c r="A124" s="3" t="s">
        <v>590</v>
      </c>
      <c r="B124" s="7" t="s">
        <v>301</v>
      </c>
      <c r="C124" s="10" t="str">
        <f aca="false">VLOOKUP(B124,Compounds!$A$3:$B$152,2,FALSE())</f>
        <v>Synthetic Corundum</v>
      </c>
      <c r="D124" s="8" t="n">
        <f aca="false">VLOOKUP(B124,Compounds!$A$3:$C$152,3,FALSE())</f>
        <v>4</v>
      </c>
      <c r="E124" s="7" t="s">
        <v>151</v>
      </c>
      <c r="F124" s="10" t="str">
        <f aca="false">VLOOKUP(E124,Compounds!$A$3:$B$152,2,FALSE())</f>
        <v>Lithium Phosphate</v>
      </c>
      <c r="G124" s="7" t="s">
        <v>222</v>
      </c>
      <c r="H124" s="10" t="str">
        <f aca="false">VLOOKUP(G124,Compounds!$A$3:$B$152,2,FALSE())</f>
        <v>Titanium Aluminide</v>
      </c>
      <c r="I124" s="7" t="s">
        <v>455</v>
      </c>
      <c r="J124" s="7"/>
      <c r="K124" s="7" t="s">
        <v>584</v>
      </c>
    </row>
    <row r="125" customFormat="false" ht="15" hidden="false" customHeight="true" outlineLevel="0" collapsed="false">
      <c r="A125" s="3" t="s">
        <v>591</v>
      </c>
      <c r="B125" s="7" t="s">
        <v>304</v>
      </c>
      <c r="C125" s="10" t="str">
        <f aca="false">VLOOKUP(B125,Compounds!$A$3:$B$152,2,FALSE())</f>
        <v>Cubic Boron Nitride</v>
      </c>
      <c r="D125" s="8" t="n">
        <f aca="false">VLOOKUP(B125,Compounds!$A$3:$C$152,3,FALSE())</f>
        <v>4</v>
      </c>
      <c r="E125" s="7" t="s">
        <v>168</v>
      </c>
      <c r="F125" s="10" t="str">
        <f aca="false">VLOOKUP(E125,Compounds!$A$3:$B$152,2,FALSE())</f>
        <v>Titanium Carbide</v>
      </c>
      <c r="G125" s="7" t="s">
        <v>287</v>
      </c>
      <c r="H125" s="10" t="str">
        <f aca="false">VLOOKUP(G125,Compounds!$A$3:$B$152,2,FALSE())</f>
        <v>Calcium Hexaboride</v>
      </c>
      <c r="I125" s="7" t="s">
        <v>455</v>
      </c>
      <c r="J125" s="7"/>
      <c r="K125" s="7" t="s">
        <v>584</v>
      </c>
    </row>
    <row r="126" customFormat="false" ht="15" hidden="false" customHeight="true" outlineLevel="0" collapsed="false">
      <c r="A126" s="3" t="s">
        <v>592</v>
      </c>
      <c r="B126" s="7" t="s">
        <v>312</v>
      </c>
      <c r="C126" s="10" t="str">
        <f aca="false">VLOOKUP(B126,Compounds!$A$3:$B$152,2,FALSE())</f>
        <v>Fused Silica Composite</v>
      </c>
      <c r="D126" s="8" t="n">
        <f aca="false">VLOOKUP(B126,Compounds!$A$3:$C$152,3,FALSE())</f>
        <v>4</v>
      </c>
      <c r="E126" s="7" t="s">
        <v>170</v>
      </c>
      <c r="F126" s="10" t="str">
        <f aca="false">VLOOKUP(E126,Compounds!$A$3:$B$152,2,FALSE())</f>
        <v>Potassium Silicate</v>
      </c>
      <c r="G126" s="7" t="s">
        <v>218</v>
      </c>
      <c r="H126" s="10" t="str">
        <f aca="false">VLOOKUP(G126,Compounds!$A$3:$B$152,2,FALSE())</f>
        <v>Cupronickel Matrix</v>
      </c>
      <c r="I126" s="7" t="s">
        <v>455</v>
      </c>
      <c r="J126" s="7"/>
      <c r="K126" s="7" t="s">
        <v>584</v>
      </c>
    </row>
    <row r="127" customFormat="false" ht="15" hidden="false" customHeight="true" outlineLevel="0" collapsed="false">
      <c r="A127" s="3" t="s">
        <v>593</v>
      </c>
      <c r="B127" s="7" t="s">
        <v>318</v>
      </c>
      <c r="C127" s="10" t="str">
        <f aca="false">VLOOKUP(B127,Compounds!$A$3:$B$152,2,FALSE())</f>
        <v>Single-Crystal Sapphire</v>
      </c>
      <c r="D127" s="8" t="n">
        <f aca="false">VLOOKUP(B127,Compounds!$A$3:$C$152,3,FALSE())</f>
        <v>4</v>
      </c>
      <c r="E127" s="7" t="s">
        <v>176</v>
      </c>
      <c r="F127" s="10" t="str">
        <f aca="false">VLOOKUP(E127,Compounds!$A$3:$B$152,2,FALSE())</f>
        <v>Iron Silicide</v>
      </c>
      <c r="G127" s="7" t="s">
        <v>232</v>
      </c>
      <c r="H127" s="10" t="str">
        <f aca="false">VLOOKUP(G127,Compounds!$A$3:$B$152,2,FALSE())</f>
        <v>Cobalt Aluminate</v>
      </c>
      <c r="I127" s="7" t="s">
        <v>455</v>
      </c>
      <c r="J127" s="7"/>
      <c r="K127" s="7" t="s">
        <v>584</v>
      </c>
    </row>
    <row r="128" customFormat="false" ht="15" hidden="false" customHeight="true" outlineLevel="0" collapsed="false">
      <c r="A128" s="3" t="s">
        <v>594</v>
      </c>
      <c r="B128" s="7" t="s">
        <v>320</v>
      </c>
      <c r="C128" s="10" t="str">
        <f aca="false">VLOOKUP(B128,Compounds!$A$3:$B$152,2,FALSE())</f>
        <v>Stabilized Zirconia</v>
      </c>
      <c r="D128" s="8" t="n">
        <f aca="false">VLOOKUP(B128,Compounds!$A$3:$C$152,3,FALSE())</f>
        <v>4</v>
      </c>
      <c r="E128" s="7" t="s">
        <v>179</v>
      </c>
      <c r="F128" s="10" t="str">
        <f aca="false">VLOOKUP(E128,Compounds!$A$3:$B$152,2,FALSE())</f>
        <v>Magnesium Borate</v>
      </c>
      <c r="G128" s="7" t="s">
        <v>264</v>
      </c>
      <c r="H128" s="10" t="str">
        <f aca="false">VLOOKUP(G128,Compounds!$A$3:$B$152,2,FALSE())</f>
        <v>Barium Zirconate</v>
      </c>
      <c r="I128" s="7" t="s">
        <v>455</v>
      </c>
      <c r="J128" s="7"/>
      <c r="K128" s="7" t="s">
        <v>584</v>
      </c>
    </row>
    <row r="129" customFormat="false" ht="15" hidden="false" customHeight="true" outlineLevel="0" collapsed="false">
      <c r="A129" s="3" t="s">
        <v>595</v>
      </c>
      <c r="B129" s="7" t="s">
        <v>322</v>
      </c>
      <c r="C129" s="10" t="str">
        <f aca="false">VLOOKUP(B129,Compounds!$A$3:$B$152,2,FALSE())</f>
        <v>Photonic Silica</v>
      </c>
      <c r="D129" s="8" t="n">
        <f aca="false">VLOOKUP(B129,Compounds!$A$3:$C$152,3,FALSE())</f>
        <v>4</v>
      </c>
      <c r="E129" s="7" t="s">
        <v>185</v>
      </c>
      <c r="F129" s="10" t="str">
        <f aca="false">VLOOKUP(E129,Compounds!$A$3:$B$152,2,FALSE())</f>
        <v>Strontium Titanate</v>
      </c>
      <c r="G129" s="7" t="s">
        <v>246</v>
      </c>
      <c r="H129" s="10" t="str">
        <f aca="false">VLOOKUP(G129,Compounds!$A$3:$B$152,2,FALSE())</f>
        <v>Molybdenum Disilicide</v>
      </c>
      <c r="I129" s="7" t="s">
        <v>455</v>
      </c>
      <c r="J129" s="7"/>
      <c r="K129" s="7" t="s">
        <v>584</v>
      </c>
    </row>
    <row r="130" customFormat="false" ht="15" hidden="false" customHeight="true" outlineLevel="0" collapsed="false">
      <c r="A130" s="3" t="s">
        <v>596</v>
      </c>
      <c r="B130" s="7" t="s">
        <v>324</v>
      </c>
      <c r="C130" s="10" t="str">
        <f aca="false">VLOOKUP(B130,Compounds!$A$3:$B$152,2,FALSE())</f>
        <v>Superconducting Niobate</v>
      </c>
      <c r="D130" s="8" t="n">
        <f aca="false">VLOOKUP(B130,Compounds!$A$3:$C$152,3,FALSE())</f>
        <v>4</v>
      </c>
      <c r="E130" s="7" t="s">
        <v>191</v>
      </c>
      <c r="F130" s="10" t="str">
        <f aca="false">VLOOKUP(E130,Compounds!$A$3:$B$152,2,FALSE())</f>
        <v>Barium Ferrite</v>
      </c>
      <c r="G130" s="7" t="s">
        <v>293</v>
      </c>
      <c r="H130" s="10" t="str">
        <f aca="false">VLOOKUP(G130,Compounds!$A$3:$B$152,2,FALSE())</f>
        <v>Niobium Carbide</v>
      </c>
      <c r="I130" s="7" t="s">
        <v>455</v>
      </c>
      <c r="J130" s="7"/>
      <c r="K130" s="7" t="s">
        <v>584</v>
      </c>
    </row>
    <row r="131" customFormat="false" ht="15" hidden="false" customHeight="true" outlineLevel="0" collapsed="false">
      <c r="A131" s="3" t="s">
        <v>597</v>
      </c>
      <c r="B131" s="7" t="s">
        <v>328</v>
      </c>
      <c r="C131" s="10" t="str">
        <f aca="false">VLOOKUP(B131,Compounds!$A$3:$B$152,2,FALSE())</f>
        <v>Aerogel Substrate</v>
      </c>
      <c r="D131" s="8" t="n">
        <f aca="false">VLOOKUP(B131,Compounds!$A$3:$C$152,3,FALSE())</f>
        <v>4</v>
      </c>
      <c r="E131" s="7" t="s">
        <v>197</v>
      </c>
      <c r="F131" s="10" t="str">
        <f aca="false">VLOOKUP(E131,Compounds!$A$3:$B$152,2,FALSE())</f>
        <v>Calcium Molybdate</v>
      </c>
      <c r="G131" s="7" t="s">
        <v>249</v>
      </c>
      <c r="H131" s="10" t="str">
        <f aca="false">VLOOKUP(G131,Compounds!$A$3:$B$152,2,FALSE())</f>
        <v>Chromium Silicide</v>
      </c>
      <c r="I131" s="7" t="s">
        <v>455</v>
      </c>
      <c r="J131" s="7"/>
      <c r="K131" s="7" t="s">
        <v>584</v>
      </c>
    </row>
    <row r="132" customFormat="false" ht="15" hidden="false" customHeight="true" outlineLevel="0" collapsed="false">
      <c r="A132" s="3" t="s">
        <v>598</v>
      </c>
      <c r="B132" s="7" t="s">
        <v>335</v>
      </c>
      <c r="C132" s="10" t="str">
        <f aca="false">VLOOKUP(B132,Compounds!$A$3:$B$152,2,FALSE())</f>
        <v>Piezoelectric Quartzite</v>
      </c>
      <c r="D132" s="8" t="n">
        <f aca="false">VLOOKUP(B132,Compounds!$A$3:$C$152,3,FALSE())</f>
        <v>4</v>
      </c>
      <c r="E132" s="7" t="s">
        <v>210</v>
      </c>
      <c r="F132" s="10" t="str">
        <f aca="false">VLOOKUP(E132,Compounds!$A$3:$B$152,2,FALSE())</f>
        <v>Borosilicate Glass</v>
      </c>
      <c r="G132" s="7" t="s">
        <v>230</v>
      </c>
      <c r="H132" s="10" t="str">
        <f aca="false">VLOOKUP(G132,Compounds!$A$3:$B$152,2,FALSE())</f>
        <v>Tungsten Carbide</v>
      </c>
      <c r="I132" s="7" t="s">
        <v>455</v>
      </c>
      <c r="J132" s="7"/>
      <c r="K132" s="7" t="s">
        <v>599</v>
      </c>
    </row>
    <row r="133" customFormat="false" ht="15" hidden="false" customHeight="true" outlineLevel="0" collapsed="false">
      <c r="A133" s="3" t="s">
        <v>600</v>
      </c>
      <c r="B133" s="7" t="s">
        <v>337</v>
      </c>
      <c r="C133" s="10" t="str">
        <f aca="false">VLOOKUP(B133,Compounds!$A$3:$B$152,2,FALSE())</f>
        <v>Thermoelectric Bismuthide</v>
      </c>
      <c r="D133" s="8" t="n">
        <f aca="false">VLOOKUP(B133,Compounds!$A$3:$C$152,3,FALSE())</f>
        <v>4</v>
      </c>
      <c r="E133" s="7" t="s">
        <v>131</v>
      </c>
      <c r="F133" s="10" t="str">
        <f aca="false">VLOOKUP(E133,Compounds!$A$3:$B$152,2,FALSE())</f>
        <v>Calcium Silicate</v>
      </c>
      <c r="G133" s="7" t="s">
        <v>243</v>
      </c>
      <c r="H133" s="10" t="str">
        <f aca="false">VLOOKUP(G133,Compounds!$A$3:$B$152,2,FALSE())</f>
        <v>Bismuth Vanadate</v>
      </c>
      <c r="I133" s="7" t="s">
        <v>455</v>
      </c>
      <c r="J133" s="7"/>
      <c r="K133" s="7" t="s">
        <v>584</v>
      </c>
    </row>
    <row r="134" customFormat="false" ht="15" hidden="false" customHeight="true" outlineLevel="0" collapsed="false">
      <c r="A134" s="3" t="s">
        <v>601</v>
      </c>
      <c r="B134" s="7" t="s">
        <v>339</v>
      </c>
      <c r="C134" s="10" t="str">
        <f aca="false">VLOOKUP(B134,Compounds!$A$3:$B$152,2,FALSE())</f>
        <v>Ferrofluid Concentrate</v>
      </c>
      <c r="D134" s="8" t="n">
        <f aca="false">VLOOKUP(B134,Compounds!$A$3:$C$152,3,FALSE())</f>
        <v>4</v>
      </c>
      <c r="E134" s="7" t="s">
        <v>235</v>
      </c>
      <c r="F134" s="10" t="str">
        <f aca="false">VLOOKUP(E134,Compounds!$A$3:$B$152,2,FALSE())</f>
        <v>Nickel Superalloy</v>
      </c>
      <c r="G134" s="7" t="s">
        <v>267</v>
      </c>
      <c r="H134" s="10" t="str">
        <f aca="false">VLOOKUP(G134,Compounds!$A$3:$B$152,2,FALSE())</f>
        <v>Strontium Ferrite</v>
      </c>
      <c r="I134" s="7" t="s">
        <v>455</v>
      </c>
      <c r="J134" s="7"/>
      <c r="K134" s="7" t="s">
        <v>599</v>
      </c>
    </row>
    <row r="135" customFormat="false" ht="15" hidden="false" customHeight="true" outlineLevel="0" collapsed="false">
      <c r="A135" s="3" t="s">
        <v>602</v>
      </c>
      <c r="B135" s="7" t="s">
        <v>341</v>
      </c>
      <c r="C135" s="10" t="str">
        <f aca="false">VLOOKUP(B135,Compounds!$A$3:$B$152,2,FALSE())</f>
        <v>Electrochromic Oxide</v>
      </c>
      <c r="D135" s="8" t="n">
        <f aca="false">VLOOKUP(B135,Compounds!$A$3:$C$152,3,FALSE())</f>
        <v>4</v>
      </c>
      <c r="E135" s="7" t="s">
        <v>142</v>
      </c>
      <c r="F135" s="10" t="str">
        <f aca="false">VLOOKUP(E135,Compounds!$A$3:$B$152,2,FALSE())</f>
        <v>Iron Phosphate</v>
      </c>
      <c r="G135" s="7" t="s">
        <v>273</v>
      </c>
      <c r="H135" s="10" t="str">
        <f aca="false">VLOOKUP(G135,Compounds!$A$3:$B$152,2,FALSE())</f>
        <v>Tungsten Bronze</v>
      </c>
      <c r="I135" s="7" t="s">
        <v>455</v>
      </c>
      <c r="J135" s="7"/>
      <c r="K135" s="7" t="s">
        <v>584</v>
      </c>
    </row>
    <row r="136" customFormat="false" ht="15" hidden="false" customHeight="true" outlineLevel="0" collapsed="false">
      <c r="A136" s="3" t="s">
        <v>603</v>
      </c>
      <c r="B136" s="7" t="s">
        <v>348</v>
      </c>
      <c r="C136" s="10" t="str">
        <f aca="false">VLOOKUP(B136,Compounds!$A$3:$B$152,2,FALSE())</f>
        <v>Optical Fluorite</v>
      </c>
      <c r="D136" s="8" t="n">
        <f aca="false">VLOOKUP(B136,Compounds!$A$3:$C$152,3,FALSE())</f>
        <v>4</v>
      </c>
      <c r="E136" s="7" t="s">
        <v>252</v>
      </c>
      <c r="F136" s="10" t="str">
        <f aca="false">VLOOKUP(E136,Compounds!$A$3:$B$152,2,FALSE())</f>
        <v>Manganese Bronze</v>
      </c>
      <c r="G136" s="7" t="s">
        <v>287</v>
      </c>
      <c r="H136" s="10" t="str">
        <f aca="false">VLOOKUP(G136,Compounds!$A$3:$B$152,2,FALSE())</f>
        <v>Calcium Hexaboride</v>
      </c>
      <c r="I136" s="7" t="s">
        <v>455</v>
      </c>
      <c r="J136" s="7"/>
      <c r="K136" s="7" t="s">
        <v>599</v>
      </c>
    </row>
    <row r="137" customFormat="false" ht="15" hidden="false" customHeight="true" outlineLevel="0" collapsed="false">
      <c r="A137" s="3" t="s">
        <v>604</v>
      </c>
      <c r="B137" s="7" t="s">
        <v>350</v>
      </c>
      <c r="C137" s="10" t="str">
        <f aca="false">VLOOKUP(B137,Compounds!$A$3:$B$152,2,FALSE())</f>
        <v>Refractory Carbide</v>
      </c>
      <c r="D137" s="8" t="n">
        <f aca="false">VLOOKUP(B137,Compounds!$A$3:$C$152,3,FALSE())</f>
        <v>4</v>
      </c>
      <c r="E137" s="7" t="s">
        <v>145</v>
      </c>
      <c r="F137" s="10" t="str">
        <f aca="false">VLOOKUP(E137,Compounds!$A$3:$B$152,2,FALSE())</f>
        <v>Magnesium Titanate</v>
      </c>
      <c r="G137" s="7" t="s">
        <v>290</v>
      </c>
      <c r="H137" s="10" t="str">
        <f aca="false">VLOOKUP(G137,Compounds!$A$3:$B$152,2,FALSE())</f>
        <v>Copper Tungstate</v>
      </c>
      <c r="I137" s="7" t="s">
        <v>455</v>
      </c>
      <c r="J137" s="7"/>
      <c r="K137" s="7" t="s">
        <v>584</v>
      </c>
    </row>
    <row r="138" customFormat="false" ht="15" hidden="false" customHeight="true" outlineLevel="0" collapsed="false">
      <c r="A138" s="3" t="s">
        <v>605</v>
      </c>
      <c r="B138" s="7" t="s">
        <v>357</v>
      </c>
      <c r="C138" s="10" t="str">
        <f aca="false">VLOOKUP(B138,Compounds!$A$3:$B$152,2,FALSE())</f>
        <v>Catalytic Vanadia</v>
      </c>
      <c r="D138" s="8" t="n">
        <f aca="false">VLOOKUP(B138,Compounds!$A$3:$C$152,3,FALSE())</f>
        <v>4</v>
      </c>
      <c r="E138" s="7" t="s">
        <v>255</v>
      </c>
      <c r="F138" s="10" t="str">
        <f aca="false">VLOOKUP(E138,Compounds!$A$3:$B$152,2,FALSE())</f>
        <v>Phosphor Bronze</v>
      </c>
      <c r="G138" s="7" t="s">
        <v>275</v>
      </c>
      <c r="H138" s="10" t="str">
        <f aca="false">VLOOKUP(G138,Compounds!$A$3:$B$152,2,FALSE())</f>
        <v>Vanadium Steel</v>
      </c>
      <c r="I138" s="7" t="s">
        <v>455</v>
      </c>
      <c r="J138" s="7"/>
      <c r="K138" s="7" t="s">
        <v>599</v>
      </c>
    </row>
    <row r="139" customFormat="false" ht="15" hidden="false" customHeight="true" outlineLevel="0" collapsed="false">
      <c r="A139" s="3" t="s">
        <v>606</v>
      </c>
      <c r="B139" s="7" t="s">
        <v>359</v>
      </c>
      <c r="C139" s="10" t="str">
        <f aca="false">VLOOKUP(B139,Compounds!$A$3:$B$152,2,FALSE())</f>
        <v>Hard Anodize Composite</v>
      </c>
      <c r="D139" s="8" t="n">
        <f aca="false">VLOOKUP(B139,Compounds!$A$3:$C$152,3,FALSE())</f>
        <v>4</v>
      </c>
      <c r="E139" s="7" t="s">
        <v>148</v>
      </c>
      <c r="F139" s="10" t="str">
        <f aca="false">VLOOKUP(E139,Compounds!$A$3:$B$152,2,FALSE())</f>
        <v>Barium Titanate</v>
      </c>
      <c r="G139" s="7" t="s">
        <v>258</v>
      </c>
      <c r="H139" s="10" t="str">
        <f aca="false">VLOOKUP(G139,Compounds!$A$3:$B$152,2,FALSE())</f>
        <v>Magnesium Spinel</v>
      </c>
      <c r="I139" s="7" t="s">
        <v>455</v>
      </c>
      <c r="J139" s="7"/>
      <c r="K139" s="7" t="s">
        <v>584</v>
      </c>
    </row>
    <row r="140" customFormat="false" ht="15" hidden="false" customHeight="true" outlineLevel="0" collapsed="false">
      <c r="A140" s="3" t="s">
        <v>607</v>
      </c>
      <c r="B140" s="7" t="s">
        <v>308</v>
      </c>
      <c r="C140" s="10" t="str">
        <f aca="false">VLOOKUP(B140,Compounds!$A$3:$B$152,2,FALSE())</f>
        <v>Pyrolytic Graphite</v>
      </c>
      <c r="D140" s="8" t="n">
        <f aca="false">VLOOKUP(B140,Compounds!$A$3:$C$152,3,FALSE())</f>
        <v>4</v>
      </c>
      <c r="E140" s="7" t="s">
        <v>261</v>
      </c>
      <c r="F140" s="10" t="str">
        <f aca="false">VLOOKUP(E140,Compounds!$A$3:$B$152,2,FALSE())</f>
        <v>Lithium Titanate Spinel</v>
      </c>
      <c r="G140" s="7" t="s">
        <v>270</v>
      </c>
      <c r="H140" s="10" t="str">
        <f aca="false">VLOOKUP(G140,Compounds!$A$3:$B$152,2,FALSE())</f>
        <v>Zinc Stannate</v>
      </c>
      <c r="I140" s="7" t="s">
        <v>455</v>
      </c>
      <c r="J140" s="7"/>
      <c r="K140" s="7" t="s">
        <v>599</v>
      </c>
    </row>
    <row r="141" customFormat="false" ht="15" hidden="false" customHeight="true" outlineLevel="0" collapsed="false">
      <c r="A141" s="3" t="s">
        <v>608</v>
      </c>
      <c r="B141" s="7" t="s">
        <v>326</v>
      </c>
      <c r="C141" s="10" t="str">
        <f aca="false">VLOOKUP(B141,Compounds!$A$3:$B$152,2,FALSE())</f>
        <v>Carbon Nanoweave</v>
      </c>
      <c r="D141" s="8" t="n">
        <f aca="false">VLOOKUP(B141,Compounds!$A$3:$C$152,3,FALSE())</f>
        <v>4</v>
      </c>
      <c r="E141" s="7" t="s">
        <v>151</v>
      </c>
      <c r="F141" s="10" t="str">
        <f aca="false">VLOOKUP(E141,Compounds!$A$3:$B$152,2,FALSE())</f>
        <v>Lithium Phosphate</v>
      </c>
      <c r="G141" s="7" t="s">
        <v>278</v>
      </c>
      <c r="H141" s="10" t="str">
        <f aca="false">VLOOKUP(G141,Compounds!$A$3:$B$152,2,FALSE())</f>
        <v>Cobalt Ferrite</v>
      </c>
      <c r="I141" s="7" t="s">
        <v>455</v>
      </c>
      <c r="J141" s="7"/>
      <c r="K141" s="7" t="s">
        <v>584</v>
      </c>
    </row>
    <row r="142" customFormat="false" ht="15" hidden="false" customHeight="true" outlineLevel="0" collapsed="false">
      <c r="A142" s="3" t="s">
        <v>609</v>
      </c>
      <c r="B142" s="7" t="s">
        <v>352</v>
      </c>
      <c r="C142" s="10" t="str">
        <f aca="false">VLOOKUP(B142,Compounds!$A$3:$B$152,2,FALSE())</f>
        <v>Conductive Polymer Base</v>
      </c>
      <c r="D142" s="8" t="n">
        <f aca="false">VLOOKUP(B142,Compounds!$A$3:$C$152,3,FALSE())</f>
        <v>4</v>
      </c>
      <c r="E142" s="7" t="s">
        <v>284</v>
      </c>
      <c r="F142" s="10" t="str">
        <f aca="false">VLOOKUP(E142,Compounds!$A$3:$B$152,2,FALSE())</f>
        <v>Cerium Zirconate</v>
      </c>
      <c r="G142" s="7" t="s">
        <v>295</v>
      </c>
      <c r="H142" s="10" t="str">
        <f aca="false">VLOOKUP(G142,Compounds!$A$3:$B$152,2,FALSE())</f>
        <v>Sodium Niobate</v>
      </c>
      <c r="I142" s="7" t="s">
        <v>455</v>
      </c>
      <c r="J142" s="7"/>
      <c r="K142" s="7" t="s">
        <v>599</v>
      </c>
    </row>
    <row r="143" customFormat="false" ht="15" hidden="false" customHeight="true" outlineLevel="0" collapsed="false">
      <c r="A143" s="3" t="s">
        <v>610</v>
      </c>
      <c r="B143" s="7" t="s">
        <v>308</v>
      </c>
      <c r="C143" s="10" t="str">
        <f aca="false">VLOOKUP(B143,Compounds!$A$3:$B$152,2,FALSE())</f>
        <v>Pyrolytic Graphite</v>
      </c>
      <c r="D143" s="8" t="n">
        <f aca="false">VLOOKUP(B143,Compounds!$A$3:$C$152,3,FALSE())</f>
        <v>4</v>
      </c>
      <c r="E143" s="7" t="s">
        <v>156</v>
      </c>
      <c r="F143" s="10" t="str">
        <f aca="false">VLOOKUP(E143,Compounds!$A$3:$B$152,2,FALSE())</f>
        <v>Cobalt Sulfide</v>
      </c>
      <c r="G143" s="7" t="s">
        <v>298</v>
      </c>
      <c r="H143" s="10" t="str">
        <f aca="false">VLOOKUP(G143,Compounds!$A$3:$B$152,2,FALSE())</f>
        <v>Lanthanum Manganite</v>
      </c>
      <c r="I143" s="7" t="s">
        <v>555</v>
      </c>
      <c r="J143" s="7" t="s">
        <v>611</v>
      </c>
      <c r="K143" s="7" t="s">
        <v>584</v>
      </c>
    </row>
    <row r="144" customFormat="false" ht="15" hidden="false" customHeight="true" outlineLevel="0" collapsed="false">
      <c r="A144" s="3" t="s">
        <v>612</v>
      </c>
      <c r="B144" s="7" t="s">
        <v>326</v>
      </c>
      <c r="C144" s="10" t="str">
        <f aca="false">VLOOKUP(B144,Compounds!$A$3:$B$152,2,FALSE())</f>
        <v>Carbon Nanoweave</v>
      </c>
      <c r="D144" s="8" t="n">
        <f aca="false">VLOOKUP(B144,Compounds!$A$3:$C$152,3,FALSE())</f>
        <v>4</v>
      </c>
      <c r="E144" s="7" t="s">
        <v>156</v>
      </c>
      <c r="F144" s="10" t="str">
        <f aca="false">VLOOKUP(E144,Compounds!$A$3:$B$152,2,FALSE())</f>
        <v>Cobalt Sulfide</v>
      </c>
      <c r="G144" s="7" t="s">
        <v>298</v>
      </c>
      <c r="H144" s="10" t="str">
        <f aca="false">VLOOKUP(G144,Compounds!$A$3:$B$152,2,FALSE())</f>
        <v>Lanthanum Manganite</v>
      </c>
      <c r="I144" s="7" t="s">
        <v>558</v>
      </c>
      <c r="J144" s="7" t="s">
        <v>611</v>
      </c>
      <c r="K144" s="7" t="s">
        <v>584</v>
      </c>
    </row>
    <row r="145" customFormat="false" ht="15" hidden="false" customHeight="true" outlineLevel="0" collapsed="false">
      <c r="A145" s="3" t="s">
        <v>613</v>
      </c>
      <c r="B145" s="7" t="s">
        <v>352</v>
      </c>
      <c r="C145" s="10" t="str">
        <f aca="false">VLOOKUP(B145,Compounds!$A$3:$B$152,2,FALSE())</f>
        <v>Conductive Polymer Base</v>
      </c>
      <c r="D145" s="8" t="n">
        <f aca="false">VLOOKUP(B145,Compounds!$A$3:$C$152,3,FALSE())</f>
        <v>4</v>
      </c>
      <c r="E145" s="7" t="s">
        <v>158</v>
      </c>
      <c r="F145" s="10" t="str">
        <f aca="false">VLOOKUP(E145,Compounds!$A$3:$B$152,2,FALSE())</f>
        <v>Manganese Ferrite</v>
      </c>
      <c r="G145" s="7" t="s">
        <v>214</v>
      </c>
      <c r="H145" s="10" t="str">
        <f aca="false">VLOOKUP(G145,Compounds!$A$3:$B$152,2,FALSE())</f>
        <v>Ferrochrome Alloy</v>
      </c>
      <c r="I145" s="7" t="s">
        <v>555</v>
      </c>
      <c r="J145" s="7" t="s">
        <v>614</v>
      </c>
      <c r="K145" s="7" t="s">
        <v>584</v>
      </c>
    </row>
    <row r="146" customFormat="false" ht="15" hidden="false" customHeight="true" outlineLevel="0" collapsed="false">
      <c r="A146" s="3" t="s">
        <v>615</v>
      </c>
      <c r="B146" s="7" t="s">
        <v>308</v>
      </c>
      <c r="C146" s="10" t="str">
        <f aca="false">VLOOKUP(B146,Compounds!$A$3:$B$152,2,FALSE())</f>
        <v>Pyrolytic Graphite</v>
      </c>
      <c r="D146" s="8" t="n">
        <f aca="false">VLOOKUP(B146,Compounds!$A$3:$C$152,3,FALSE())</f>
        <v>4</v>
      </c>
      <c r="E146" s="7" t="s">
        <v>158</v>
      </c>
      <c r="F146" s="10" t="str">
        <f aca="false">VLOOKUP(E146,Compounds!$A$3:$B$152,2,FALSE())</f>
        <v>Manganese Ferrite</v>
      </c>
      <c r="G146" s="7" t="s">
        <v>214</v>
      </c>
      <c r="H146" s="10" t="str">
        <f aca="false">VLOOKUP(G146,Compounds!$A$3:$B$152,2,FALSE())</f>
        <v>Ferrochrome Alloy</v>
      </c>
      <c r="I146" s="7" t="s">
        <v>558</v>
      </c>
      <c r="J146" s="7" t="s">
        <v>614</v>
      </c>
      <c r="K146" s="7" t="s">
        <v>584</v>
      </c>
    </row>
    <row r="147" customFormat="false" ht="15" hidden="false" customHeight="true" outlineLevel="0" collapsed="false">
      <c r="A147" s="3" t="s">
        <v>616</v>
      </c>
      <c r="B147" s="7" t="s">
        <v>301</v>
      </c>
      <c r="C147" s="10" t="str">
        <f aca="false">VLOOKUP(B147,Compounds!$A$3:$B$152,2,FALSE())</f>
        <v>Synthetic Corundum</v>
      </c>
      <c r="D147" s="8" t="n">
        <f aca="false">VLOOKUP(B147,Compounds!$A$3:$C$152,3,FALSE())</f>
        <v>4</v>
      </c>
      <c r="E147" s="7" t="s">
        <v>161</v>
      </c>
      <c r="F147" s="10" t="str">
        <f aca="false">VLOOKUP(E147,Compounds!$A$3:$B$152,2,FALSE())</f>
        <v>Zinc Ferrite</v>
      </c>
      <c r="G147" s="7" t="s">
        <v>222</v>
      </c>
      <c r="H147" s="10" t="str">
        <f aca="false">VLOOKUP(G147,Compounds!$A$3:$B$152,2,FALSE())</f>
        <v>Titanium Aluminide</v>
      </c>
      <c r="I147" s="7" t="s">
        <v>455</v>
      </c>
      <c r="J147" s="7"/>
      <c r="K147" s="7" t="s">
        <v>584</v>
      </c>
    </row>
    <row r="148" customFormat="false" ht="15" hidden="false" customHeight="true" outlineLevel="0" collapsed="false">
      <c r="A148" s="3" t="s">
        <v>617</v>
      </c>
      <c r="B148" s="7" t="s">
        <v>304</v>
      </c>
      <c r="C148" s="10" t="str">
        <f aca="false">VLOOKUP(B148,Compounds!$A$3:$B$152,2,FALSE())</f>
        <v>Cubic Boron Nitride</v>
      </c>
      <c r="D148" s="8" t="n">
        <f aca="false">VLOOKUP(B148,Compounds!$A$3:$C$152,3,FALSE())</f>
        <v>4</v>
      </c>
      <c r="E148" s="7" t="s">
        <v>179</v>
      </c>
      <c r="F148" s="10" t="str">
        <f aca="false">VLOOKUP(E148,Compounds!$A$3:$B$152,2,FALSE())</f>
        <v>Magnesium Borate</v>
      </c>
      <c r="G148" s="7" t="s">
        <v>218</v>
      </c>
      <c r="H148" s="10" t="str">
        <f aca="false">VLOOKUP(G148,Compounds!$A$3:$B$152,2,FALSE())</f>
        <v>Cupronickel Matrix</v>
      </c>
      <c r="I148" s="7" t="s">
        <v>455</v>
      </c>
      <c r="J148" s="7"/>
      <c r="K148" s="7" t="s">
        <v>584</v>
      </c>
    </row>
    <row r="149" customFormat="false" ht="15" hidden="false" customHeight="true" outlineLevel="0" collapsed="false">
      <c r="A149" s="3" t="s">
        <v>618</v>
      </c>
      <c r="B149" s="7" t="s">
        <v>312</v>
      </c>
      <c r="C149" s="10" t="str">
        <f aca="false">VLOOKUP(B149,Compounds!$A$3:$B$152,2,FALSE())</f>
        <v>Fused Silica Composite</v>
      </c>
      <c r="D149" s="8" t="n">
        <f aca="false">VLOOKUP(B149,Compounds!$A$3:$C$152,3,FALSE())</f>
        <v>4</v>
      </c>
      <c r="E149" s="7" t="s">
        <v>164</v>
      </c>
      <c r="F149" s="10" t="str">
        <f aca="false">VLOOKUP(E149,Compounds!$A$3:$B$152,2,FALSE())</f>
        <v>Silicon Carbide</v>
      </c>
      <c r="G149" s="7" t="s">
        <v>226</v>
      </c>
      <c r="H149" s="10" t="str">
        <f aca="false">VLOOKUP(G149,Compounds!$A$3:$B$152,2,FALSE())</f>
        <v>Zirconium Carbide</v>
      </c>
      <c r="I149" s="7" t="s">
        <v>455</v>
      </c>
      <c r="J149" s="7"/>
      <c r="K149" s="7" t="s">
        <v>584</v>
      </c>
    </row>
    <row r="150" customFormat="false" ht="15" hidden="false" customHeight="true" outlineLevel="0" collapsed="false">
      <c r="A150" s="3" t="s">
        <v>619</v>
      </c>
      <c r="B150" s="7" t="s">
        <v>315</v>
      </c>
      <c r="C150" s="10" t="str">
        <f aca="false">VLOOKUP(B150,Compounds!$A$3:$B$152,2,FALSE())</f>
        <v>Amorphous Ferrosilicon</v>
      </c>
      <c r="D150" s="8" t="n">
        <f aca="false">VLOOKUP(B150,Compounds!$A$3:$C$152,3,FALSE())</f>
        <v>4</v>
      </c>
      <c r="E150" s="7" t="s">
        <v>170</v>
      </c>
      <c r="F150" s="10" t="str">
        <f aca="false">VLOOKUP(E150,Compounds!$A$3:$B$152,2,FALSE())</f>
        <v>Potassium Silicate</v>
      </c>
      <c r="G150" s="7" t="s">
        <v>267</v>
      </c>
      <c r="H150" s="10" t="str">
        <f aca="false">VLOOKUP(G150,Compounds!$A$3:$B$152,2,FALSE())</f>
        <v>Strontium Ferrite</v>
      </c>
      <c r="I150" s="7" t="s">
        <v>455</v>
      </c>
      <c r="J150" s="7"/>
      <c r="K150" s="7" t="s">
        <v>584</v>
      </c>
    </row>
    <row r="151" customFormat="false" ht="15" hidden="false" customHeight="true" outlineLevel="0" collapsed="false">
      <c r="A151" s="3" t="s">
        <v>620</v>
      </c>
      <c r="B151" s="7" t="s">
        <v>326</v>
      </c>
      <c r="C151" s="10" t="str">
        <f aca="false">VLOOKUP(B151,Compounds!$A$3:$B$152,2,FALSE())</f>
        <v>Carbon Nanoweave</v>
      </c>
      <c r="D151" s="8" t="n">
        <f aca="false">VLOOKUP(B151,Compounds!$A$3:$C$152,3,FALSE())</f>
        <v>4</v>
      </c>
      <c r="E151" s="7" t="s">
        <v>230</v>
      </c>
      <c r="F151" s="10" t="str">
        <f aca="false">VLOOKUP(E151,Compounds!$A$3:$B$152,2,FALSE())</f>
        <v>Tungsten Carbide</v>
      </c>
      <c r="G151" s="7" t="s">
        <v>232</v>
      </c>
      <c r="H151" s="10" t="str">
        <f aca="false">VLOOKUP(G151,Compounds!$A$3:$B$152,2,FALSE())</f>
        <v>Cobalt Aluminate</v>
      </c>
      <c r="I151" s="7" t="s">
        <v>555</v>
      </c>
      <c r="J151" s="7" t="s">
        <v>621</v>
      </c>
      <c r="K151" s="7" t="s">
        <v>599</v>
      </c>
    </row>
    <row r="152" customFormat="false" ht="15" hidden="false" customHeight="true" outlineLevel="0" collapsed="false">
      <c r="A152" s="3" t="s">
        <v>622</v>
      </c>
      <c r="B152" s="7" t="s">
        <v>352</v>
      </c>
      <c r="C152" s="10" t="str">
        <f aca="false">VLOOKUP(B152,Compounds!$A$3:$B$152,2,FALSE())</f>
        <v>Conductive Polymer Base</v>
      </c>
      <c r="D152" s="8" t="n">
        <f aca="false">VLOOKUP(B152,Compounds!$A$3:$C$152,3,FALSE())</f>
        <v>4</v>
      </c>
      <c r="E152" s="7" t="s">
        <v>230</v>
      </c>
      <c r="F152" s="10" t="str">
        <f aca="false">VLOOKUP(E152,Compounds!$A$3:$B$152,2,FALSE())</f>
        <v>Tungsten Carbide</v>
      </c>
      <c r="G152" s="7" t="s">
        <v>232</v>
      </c>
      <c r="H152" s="10" t="str">
        <f aca="false">VLOOKUP(G152,Compounds!$A$3:$B$152,2,FALSE())</f>
        <v>Cobalt Aluminate</v>
      </c>
      <c r="I152" s="7" t="s">
        <v>558</v>
      </c>
      <c r="J152" s="7" t="s">
        <v>621</v>
      </c>
      <c r="K152" s="7" t="s">
        <v>599</v>
      </c>
    </row>
    <row r="153" customFormat="false" ht="15" hidden="false" customHeight="true" outlineLevel="0" collapsed="false">
      <c r="A153" s="3" t="s">
        <v>623</v>
      </c>
      <c r="B153" s="7" t="s">
        <v>308</v>
      </c>
      <c r="C153" s="10" t="str">
        <f aca="false">VLOOKUP(B153,Compounds!$A$3:$B$152,2,FALSE())</f>
        <v>Pyrolytic Graphite</v>
      </c>
      <c r="D153" s="8" t="n">
        <f aca="false">VLOOKUP(B153,Compounds!$A$3:$C$152,3,FALSE())</f>
        <v>4</v>
      </c>
      <c r="E153" s="7" t="s">
        <v>235</v>
      </c>
      <c r="F153" s="10" t="str">
        <f aca="false">VLOOKUP(E153,Compounds!$A$3:$B$152,2,FALSE())</f>
        <v>Nickel Superalloy</v>
      </c>
      <c r="G153" s="7" t="s">
        <v>238</v>
      </c>
      <c r="H153" s="10" t="str">
        <f aca="false">VLOOKUP(G153,Compounds!$A$3:$B$152,2,FALSE())</f>
        <v>Lanthanum Aluminate</v>
      </c>
      <c r="I153" s="7" t="s">
        <v>555</v>
      </c>
      <c r="J153" s="7" t="s">
        <v>624</v>
      </c>
      <c r="K153" s="7" t="s">
        <v>599</v>
      </c>
    </row>
    <row r="154" customFormat="false" ht="15" hidden="false" customHeight="true" outlineLevel="0" collapsed="false">
      <c r="A154" s="3" t="s">
        <v>625</v>
      </c>
      <c r="B154" s="7" t="s">
        <v>326</v>
      </c>
      <c r="C154" s="10" t="str">
        <f aca="false">VLOOKUP(B154,Compounds!$A$3:$B$152,2,FALSE())</f>
        <v>Carbon Nanoweave</v>
      </c>
      <c r="D154" s="8" t="n">
        <f aca="false">VLOOKUP(B154,Compounds!$A$3:$C$152,3,FALSE())</f>
        <v>4</v>
      </c>
      <c r="E154" s="7" t="s">
        <v>235</v>
      </c>
      <c r="F154" s="10" t="str">
        <f aca="false">VLOOKUP(E154,Compounds!$A$3:$B$152,2,FALSE())</f>
        <v>Nickel Superalloy</v>
      </c>
      <c r="G154" s="7" t="s">
        <v>238</v>
      </c>
      <c r="H154" s="10" t="str">
        <f aca="false">VLOOKUP(G154,Compounds!$A$3:$B$152,2,FALSE())</f>
        <v>Lanthanum Aluminate</v>
      </c>
      <c r="I154" s="7" t="s">
        <v>558</v>
      </c>
      <c r="J154" s="7" t="s">
        <v>624</v>
      </c>
      <c r="K154" s="7" t="s">
        <v>599</v>
      </c>
    </row>
    <row r="155" customFormat="false" ht="15" hidden="false" customHeight="true" outlineLevel="0" collapsed="false">
      <c r="A155" s="3" t="s">
        <v>626</v>
      </c>
      <c r="B155" s="7" t="s">
        <v>352</v>
      </c>
      <c r="C155" s="10" t="str">
        <f aca="false">VLOOKUP(B155,Compounds!$A$3:$B$152,2,FALSE())</f>
        <v>Conductive Polymer Base</v>
      </c>
      <c r="D155" s="8" t="n">
        <f aca="false">VLOOKUP(B155,Compounds!$A$3:$C$152,3,FALSE())</f>
        <v>4</v>
      </c>
      <c r="E155" s="7" t="s">
        <v>241</v>
      </c>
      <c r="F155" s="10" t="str">
        <f aca="false">VLOOKUP(E155,Compounds!$A$3:$B$152,2,FALSE())</f>
        <v>Yttrium Garnet</v>
      </c>
      <c r="G155" s="7" t="s">
        <v>243</v>
      </c>
      <c r="H155" s="10" t="str">
        <f aca="false">VLOOKUP(G155,Compounds!$A$3:$B$152,2,FALSE())</f>
        <v>Bismuth Vanadate</v>
      </c>
      <c r="I155" s="7" t="s">
        <v>555</v>
      </c>
      <c r="J155" s="7" t="s">
        <v>627</v>
      </c>
      <c r="K155" s="7" t="s">
        <v>599</v>
      </c>
    </row>
    <row r="156" customFormat="false" ht="15" hidden="false" customHeight="true" outlineLevel="0" collapsed="false">
      <c r="A156" s="3" t="s">
        <v>628</v>
      </c>
      <c r="B156" s="7" t="s">
        <v>308</v>
      </c>
      <c r="C156" s="10" t="str">
        <f aca="false">VLOOKUP(B156,Compounds!$A$3:$B$152,2,FALSE())</f>
        <v>Pyrolytic Graphite</v>
      </c>
      <c r="D156" s="8" t="n">
        <f aca="false">VLOOKUP(B156,Compounds!$A$3:$C$152,3,FALSE())</f>
        <v>4</v>
      </c>
      <c r="E156" s="7" t="s">
        <v>241</v>
      </c>
      <c r="F156" s="10" t="str">
        <f aca="false">VLOOKUP(E156,Compounds!$A$3:$B$152,2,FALSE())</f>
        <v>Yttrium Garnet</v>
      </c>
      <c r="G156" s="7" t="s">
        <v>243</v>
      </c>
      <c r="H156" s="10" t="str">
        <f aca="false">VLOOKUP(G156,Compounds!$A$3:$B$152,2,FALSE())</f>
        <v>Bismuth Vanadate</v>
      </c>
      <c r="I156" s="7" t="s">
        <v>558</v>
      </c>
      <c r="J156" s="7" t="s">
        <v>627</v>
      </c>
      <c r="K156" s="7" t="s">
        <v>599</v>
      </c>
    </row>
    <row r="157" customFormat="false" ht="15" hidden="false" customHeight="true" outlineLevel="0" collapsed="false">
      <c r="A157" s="3" t="s">
        <v>629</v>
      </c>
      <c r="B157" s="7" t="s">
        <v>326</v>
      </c>
      <c r="C157" s="10" t="str">
        <f aca="false">VLOOKUP(B157,Compounds!$A$3:$B$152,2,FALSE())</f>
        <v>Carbon Nanoweave</v>
      </c>
      <c r="D157" s="8" t="n">
        <f aca="false">VLOOKUP(B157,Compounds!$A$3:$C$152,3,FALSE())</f>
        <v>4</v>
      </c>
      <c r="E157" s="7" t="s">
        <v>246</v>
      </c>
      <c r="F157" s="10" t="str">
        <f aca="false">VLOOKUP(E157,Compounds!$A$3:$B$152,2,FALSE())</f>
        <v>Molybdenum Disilicide</v>
      </c>
      <c r="G157" s="7" t="s">
        <v>249</v>
      </c>
      <c r="H157" s="10" t="str">
        <f aca="false">VLOOKUP(G157,Compounds!$A$3:$B$152,2,FALSE())</f>
        <v>Chromium Silicide</v>
      </c>
      <c r="I157" s="7" t="s">
        <v>555</v>
      </c>
      <c r="J157" s="7" t="s">
        <v>630</v>
      </c>
      <c r="K157" s="7" t="s">
        <v>599</v>
      </c>
    </row>
    <row r="158" customFormat="false" ht="15" hidden="false" customHeight="true" outlineLevel="0" collapsed="false">
      <c r="A158" s="3" t="s">
        <v>631</v>
      </c>
      <c r="B158" s="7" t="s">
        <v>352</v>
      </c>
      <c r="C158" s="10" t="str">
        <f aca="false">VLOOKUP(B158,Compounds!$A$3:$B$152,2,FALSE())</f>
        <v>Conductive Polymer Base</v>
      </c>
      <c r="D158" s="8" t="n">
        <f aca="false">VLOOKUP(B158,Compounds!$A$3:$C$152,3,FALSE())</f>
        <v>4</v>
      </c>
      <c r="E158" s="7" t="s">
        <v>246</v>
      </c>
      <c r="F158" s="10" t="str">
        <f aca="false">VLOOKUP(E158,Compounds!$A$3:$B$152,2,FALSE())</f>
        <v>Molybdenum Disilicide</v>
      </c>
      <c r="G158" s="7" t="s">
        <v>249</v>
      </c>
      <c r="H158" s="10" t="str">
        <f aca="false">VLOOKUP(G158,Compounds!$A$3:$B$152,2,FALSE())</f>
        <v>Chromium Silicide</v>
      </c>
      <c r="I158" s="7" t="s">
        <v>558</v>
      </c>
      <c r="J158" s="7" t="s">
        <v>630</v>
      </c>
      <c r="K158" s="7" t="s">
        <v>599</v>
      </c>
    </row>
    <row r="159" customFormat="false" ht="15" hidden="false" customHeight="true" outlineLevel="0" collapsed="false">
      <c r="A159" s="3" t="s">
        <v>632</v>
      </c>
      <c r="B159" s="7" t="s">
        <v>318</v>
      </c>
      <c r="C159" s="10" t="str">
        <f aca="false">VLOOKUP(B159,Compounds!$A$3:$B$152,2,FALSE())</f>
        <v>Single-Crystal Sapphire</v>
      </c>
      <c r="D159" s="8" t="n">
        <f aca="false">VLOOKUP(B159,Compounds!$A$3:$C$152,3,FALSE())</f>
        <v>4</v>
      </c>
      <c r="E159" s="7" t="s">
        <v>252</v>
      </c>
      <c r="F159" s="10" t="str">
        <f aca="false">VLOOKUP(E159,Compounds!$A$3:$B$152,2,FALSE())</f>
        <v>Manganese Bronze</v>
      </c>
      <c r="G159" s="7" t="s">
        <v>258</v>
      </c>
      <c r="H159" s="10" t="str">
        <f aca="false">VLOOKUP(G159,Compounds!$A$3:$B$152,2,FALSE())</f>
        <v>Magnesium Spinel</v>
      </c>
      <c r="I159" s="7" t="s">
        <v>455</v>
      </c>
      <c r="J159" s="7"/>
      <c r="K159" s="7" t="s">
        <v>599</v>
      </c>
    </row>
    <row r="160" customFormat="false" ht="15" hidden="false" customHeight="true" outlineLevel="0" collapsed="false">
      <c r="A160" s="3" t="s">
        <v>633</v>
      </c>
      <c r="B160" s="7" t="s">
        <v>320</v>
      </c>
      <c r="C160" s="10" t="str">
        <f aca="false">VLOOKUP(B160,Compounds!$A$3:$B$152,2,FALSE())</f>
        <v>Stabilized Zirconia</v>
      </c>
      <c r="D160" s="8" t="n">
        <f aca="false">VLOOKUP(B160,Compounds!$A$3:$C$152,3,FALSE())</f>
        <v>4</v>
      </c>
      <c r="E160" s="7" t="s">
        <v>255</v>
      </c>
      <c r="F160" s="10" t="str">
        <f aca="false">VLOOKUP(E160,Compounds!$A$3:$B$152,2,FALSE())</f>
        <v>Phosphor Bronze</v>
      </c>
      <c r="G160" s="7" t="s">
        <v>264</v>
      </c>
      <c r="H160" s="10" t="str">
        <f aca="false">VLOOKUP(G160,Compounds!$A$3:$B$152,2,FALSE())</f>
        <v>Barium Zirconate</v>
      </c>
      <c r="I160" s="7" t="s">
        <v>455</v>
      </c>
      <c r="J160" s="7"/>
      <c r="K160" s="7" t="s">
        <v>599</v>
      </c>
    </row>
    <row r="161" customFormat="false" ht="15" hidden="false" customHeight="true" outlineLevel="0" collapsed="false">
      <c r="A161" s="3" t="s">
        <v>634</v>
      </c>
      <c r="B161" s="7" t="s">
        <v>322</v>
      </c>
      <c r="C161" s="10" t="str">
        <f aca="false">VLOOKUP(B161,Compounds!$A$3:$B$152,2,FALSE())</f>
        <v>Photonic Silica</v>
      </c>
      <c r="D161" s="8" t="n">
        <f aca="false">VLOOKUP(B161,Compounds!$A$3:$C$152,3,FALSE())</f>
        <v>4</v>
      </c>
      <c r="E161" s="7" t="s">
        <v>210</v>
      </c>
      <c r="F161" s="10" t="str">
        <f aca="false">VLOOKUP(E161,Compounds!$A$3:$B$152,2,FALSE())</f>
        <v>Borosilicate Glass</v>
      </c>
      <c r="G161" s="7" t="s">
        <v>261</v>
      </c>
      <c r="H161" s="10" t="str">
        <f aca="false">VLOOKUP(G161,Compounds!$A$3:$B$152,2,FALSE())</f>
        <v>Lithium Titanate Spinel</v>
      </c>
      <c r="I161" s="7" t="s">
        <v>455</v>
      </c>
      <c r="J161" s="7"/>
      <c r="K161" s="7" t="s">
        <v>599</v>
      </c>
    </row>
    <row r="162" customFormat="false" ht="15" hidden="false" customHeight="true" outlineLevel="0" collapsed="false">
      <c r="A162" s="3" t="s">
        <v>635</v>
      </c>
      <c r="B162" s="7" t="s">
        <v>324</v>
      </c>
      <c r="C162" s="10" t="str">
        <f aca="false">VLOOKUP(B162,Compounds!$A$3:$B$152,2,FALSE())</f>
        <v>Superconducting Niobate</v>
      </c>
      <c r="D162" s="8" t="n">
        <f aca="false">VLOOKUP(B162,Compounds!$A$3:$C$152,3,FALSE())</f>
        <v>4</v>
      </c>
      <c r="E162" s="7" t="s">
        <v>270</v>
      </c>
      <c r="F162" s="10" t="str">
        <f aca="false">VLOOKUP(E162,Compounds!$A$3:$B$152,2,FALSE())</f>
        <v>Zinc Stannate</v>
      </c>
      <c r="G162" s="7" t="s">
        <v>293</v>
      </c>
      <c r="H162" s="10" t="str">
        <f aca="false">VLOOKUP(G162,Compounds!$A$3:$B$152,2,FALSE())</f>
        <v>Niobium Carbide</v>
      </c>
      <c r="I162" s="7" t="s">
        <v>455</v>
      </c>
      <c r="J162" s="7"/>
      <c r="K162" s="7" t="s">
        <v>599</v>
      </c>
    </row>
    <row r="163" customFormat="false" ht="15" hidden="false" customHeight="true" outlineLevel="0" collapsed="false">
      <c r="A163" s="3" t="s">
        <v>636</v>
      </c>
      <c r="B163" s="7" t="s">
        <v>382</v>
      </c>
      <c r="C163" s="10" t="str">
        <f aca="false">VLOOKUP(B163,Compounds!$A$3:$B$152,2,FALSE())</f>
        <v>Spintronic Alloy</v>
      </c>
      <c r="D163" s="8" t="n">
        <f aca="false">VLOOKUP(B163,Compounds!$A$3:$C$152,3,FALSE())</f>
        <v>5</v>
      </c>
      <c r="E163" s="7" t="s">
        <v>278</v>
      </c>
      <c r="F163" s="10" t="str">
        <f aca="false">VLOOKUP(E163,Compounds!$A$3:$B$152,2,FALSE())</f>
        <v>Cobalt Ferrite</v>
      </c>
      <c r="G163" s="7" t="s">
        <v>301</v>
      </c>
      <c r="H163" s="10" t="str">
        <f aca="false">VLOOKUP(G163,Compounds!$A$3:$B$152,2,FALSE())</f>
        <v>Synthetic Corundum</v>
      </c>
      <c r="I163" s="7" t="s">
        <v>455</v>
      </c>
      <c r="J163" s="7"/>
      <c r="K163" s="7" t="s">
        <v>637</v>
      </c>
    </row>
    <row r="164" customFormat="false" ht="15" hidden="false" customHeight="true" outlineLevel="0" collapsed="false">
      <c r="A164" s="3" t="s">
        <v>638</v>
      </c>
      <c r="B164" s="7" t="s">
        <v>398</v>
      </c>
      <c r="C164" s="10" t="str">
        <f aca="false">VLOOKUP(B164,Compounds!$A$3:$B$152,2,FALSE())</f>
        <v>Perovskite Cell</v>
      </c>
      <c r="D164" s="8" t="n">
        <f aca="false">VLOOKUP(B164,Compounds!$A$3:$C$152,3,FALSE())</f>
        <v>5</v>
      </c>
      <c r="E164" s="7" t="s">
        <v>281</v>
      </c>
      <c r="F164" s="10" t="str">
        <f aca="false">VLOOKUP(E164,Compounds!$A$3:$B$152,2,FALSE())</f>
        <v>Nickel-Titanium Ingot</v>
      </c>
      <c r="G164" s="7" t="s">
        <v>348</v>
      </c>
      <c r="H164" s="10" t="str">
        <f aca="false">VLOOKUP(G164,Compounds!$A$3:$B$152,2,FALSE())</f>
        <v>Optical Fluorite</v>
      </c>
      <c r="I164" s="7" t="s">
        <v>455</v>
      </c>
      <c r="J164" s="7"/>
      <c r="K164" s="7" t="s">
        <v>637</v>
      </c>
    </row>
    <row r="165" customFormat="false" ht="15" hidden="false" customHeight="true" outlineLevel="0" collapsed="false">
      <c r="A165" s="3" t="s">
        <v>639</v>
      </c>
      <c r="B165" s="7" t="s">
        <v>361</v>
      </c>
      <c r="C165" s="10" t="str">
        <f aca="false">VLOOKUP(B165,Compounds!$A$3:$B$152,2,FALSE())</f>
        <v>Zinc Polymer</v>
      </c>
      <c r="D165" s="8" t="n">
        <f aca="false">VLOOKUP(B165,Compounds!$A$3:$C$152,3,FALSE())</f>
        <v>5</v>
      </c>
      <c r="E165" s="7" t="s">
        <v>270</v>
      </c>
      <c r="F165" s="10" t="str">
        <f aca="false">VLOOKUP(E165,Compounds!$A$3:$B$152,2,FALSE())</f>
        <v>Zinc Stannate</v>
      </c>
      <c r="G165" s="7" t="s">
        <v>304</v>
      </c>
      <c r="H165" s="10" t="str">
        <f aca="false">VLOOKUP(G165,Compounds!$A$3:$B$152,2,FALSE())</f>
        <v>Cubic Boron Nitride</v>
      </c>
      <c r="I165" s="7" t="s">
        <v>455</v>
      </c>
      <c r="J165" s="7"/>
      <c r="K165" s="7" t="s">
        <v>637</v>
      </c>
    </row>
    <row r="166" customFormat="false" ht="15" hidden="false" customHeight="true" outlineLevel="0" collapsed="false">
      <c r="A166" s="3" t="s">
        <v>640</v>
      </c>
      <c r="B166" s="7" t="s">
        <v>364</v>
      </c>
      <c r="C166" s="10" t="str">
        <f aca="false">VLOOKUP(B166,Compounds!$A$3:$B$152,2,FALSE())</f>
        <v>Quantum Dot Suspension</v>
      </c>
      <c r="D166" s="8" t="n">
        <f aca="false">VLOOKUP(B166,Compounds!$A$3:$C$152,3,FALSE())</f>
        <v>5</v>
      </c>
      <c r="E166" s="7" t="s">
        <v>270</v>
      </c>
      <c r="F166" s="10" t="str">
        <f aca="false">VLOOKUP(E166,Compounds!$A$3:$B$152,2,FALSE())</f>
        <v>Zinc Stannate</v>
      </c>
      <c r="G166" s="7" t="s">
        <v>308</v>
      </c>
      <c r="H166" s="10" t="str">
        <f aca="false">VLOOKUP(G166,Compounds!$A$3:$B$152,2,FALSE())</f>
        <v>Pyrolytic Graphite</v>
      </c>
      <c r="I166" s="7" t="s">
        <v>455</v>
      </c>
      <c r="J166" s="7"/>
      <c r="K166" s="7" t="s">
        <v>637</v>
      </c>
    </row>
    <row r="167" customFormat="false" ht="15" hidden="false" customHeight="true" outlineLevel="0" collapsed="false">
      <c r="A167" s="3" t="s">
        <v>641</v>
      </c>
      <c r="B167" s="7" t="s">
        <v>376</v>
      </c>
      <c r="C167" s="10" t="str">
        <f aca="false">VLOOKUP(B167,Compounds!$A$3:$B$152,2,FALSE())</f>
        <v>Topological Insulator</v>
      </c>
      <c r="D167" s="8" t="n">
        <f aca="false">VLOOKUP(B167,Compounds!$A$3:$C$152,3,FALSE())</f>
        <v>5</v>
      </c>
      <c r="E167" s="7" t="s">
        <v>273</v>
      </c>
      <c r="F167" s="10" t="str">
        <f aca="false">VLOOKUP(E167,Compounds!$A$3:$B$152,2,FALSE())</f>
        <v>Tungsten Bronze</v>
      </c>
      <c r="G167" s="7" t="s">
        <v>337</v>
      </c>
      <c r="H167" s="10" t="str">
        <f aca="false">VLOOKUP(G167,Compounds!$A$3:$B$152,2,FALSE())</f>
        <v>Thermoelectric Bismuthide</v>
      </c>
      <c r="I167" s="7" t="s">
        <v>455</v>
      </c>
      <c r="J167" s="7"/>
      <c r="K167" s="7" t="s">
        <v>637</v>
      </c>
    </row>
    <row r="168" customFormat="false" ht="15" hidden="false" customHeight="true" outlineLevel="0" collapsed="false">
      <c r="A168" s="3" t="s">
        <v>642</v>
      </c>
      <c r="B168" s="7" t="s">
        <v>380</v>
      </c>
      <c r="C168" s="10" t="str">
        <f aca="false">VLOOKUP(B168,Compounds!$A$3:$B$152,2,FALSE())</f>
        <v>Photonic Crystal</v>
      </c>
      <c r="D168" s="8" t="n">
        <f aca="false">VLOOKUP(B168,Compounds!$A$3:$C$152,3,FALSE())</f>
        <v>5</v>
      </c>
      <c r="E168" s="7" t="s">
        <v>275</v>
      </c>
      <c r="F168" s="10" t="str">
        <f aca="false">VLOOKUP(E168,Compounds!$A$3:$B$152,2,FALSE())</f>
        <v>Vanadium Steel</v>
      </c>
      <c r="G168" s="7" t="s">
        <v>312</v>
      </c>
      <c r="H168" s="10" t="str">
        <f aca="false">VLOOKUP(G168,Compounds!$A$3:$B$152,2,FALSE())</f>
        <v>Fused Silica Composite</v>
      </c>
      <c r="I168" s="7" t="s">
        <v>455</v>
      </c>
      <c r="J168" s="7"/>
      <c r="K168" s="7" t="s">
        <v>637</v>
      </c>
    </row>
    <row r="169" customFormat="false" ht="15" hidden="false" customHeight="true" outlineLevel="0" collapsed="false">
      <c r="A169" s="3" t="s">
        <v>643</v>
      </c>
      <c r="B169" s="7" t="s">
        <v>384</v>
      </c>
      <c r="C169" s="10" t="str">
        <f aca="false">VLOOKUP(B169,Compounds!$A$3:$B$152,2,FALSE())</f>
        <v>Plasmonic Composite</v>
      </c>
      <c r="D169" s="8" t="n">
        <f aca="false">VLOOKUP(B169,Compounds!$A$3:$C$152,3,FALSE())</f>
        <v>5</v>
      </c>
      <c r="E169" s="7" t="s">
        <v>284</v>
      </c>
      <c r="F169" s="10" t="str">
        <f aca="false">VLOOKUP(E169,Compounds!$A$3:$B$152,2,FALSE())</f>
        <v>Cerium Zirconate</v>
      </c>
      <c r="G169" s="7" t="s">
        <v>330</v>
      </c>
      <c r="H169" s="10" t="str">
        <f aca="false">VLOOKUP(G169,Compounds!$A$3:$B$152,2,FALSE())</f>
        <v>Metallic Glass</v>
      </c>
      <c r="I169" s="7" t="s">
        <v>455</v>
      </c>
      <c r="J169" s="7"/>
      <c r="K169" s="7" t="s">
        <v>637</v>
      </c>
    </row>
    <row r="170" customFormat="false" ht="15" hidden="false" customHeight="true" outlineLevel="0" collapsed="false">
      <c r="A170" s="3" t="s">
        <v>644</v>
      </c>
      <c r="B170" s="7" t="s">
        <v>394</v>
      </c>
      <c r="C170" s="10" t="str">
        <f aca="false">VLOOKUP(B170,Compounds!$A$3:$B$152,2,FALSE())</f>
        <v>Borophene Sheet</v>
      </c>
      <c r="D170" s="8" t="n">
        <f aca="false">VLOOKUP(B170,Compounds!$A$3:$C$152,3,FALSE())</f>
        <v>5</v>
      </c>
      <c r="E170" s="7" t="s">
        <v>287</v>
      </c>
      <c r="F170" s="10" t="str">
        <f aca="false">VLOOKUP(E170,Compounds!$A$3:$B$152,2,FALSE())</f>
        <v>Calcium Hexaboride</v>
      </c>
      <c r="G170" s="7" t="s">
        <v>315</v>
      </c>
      <c r="H170" s="10" t="str">
        <f aca="false">VLOOKUP(G170,Compounds!$A$3:$B$152,2,FALSE())</f>
        <v>Amorphous Ferrosilicon</v>
      </c>
      <c r="I170" s="7" t="s">
        <v>455</v>
      </c>
      <c r="J170" s="7"/>
      <c r="K170" s="7" t="s">
        <v>637</v>
      </c>
    </row>
    <row r="171" customFormat="false" ht="15" hidden="false" customHeight="true" outlineLevel="0" collapsed="false">
      <c r="A171" s="3" t="s">
        <v>645</v>
      </c>
      <c r="B171" s="7" t="s">
        <v>396</v>
      </c>
      <c r="C171" s="10" t="str">
        <f aca="false">VLOOKUP(B171,Compounds!$A$3:$B$152,2,FALSE())</f>
        <v>Stanene Film</v>
      </c>
      <c r="D171" s="8" t="n">
        <f aca="false">VLOOKUP(B171,Compounds!$A$3:$C$152,3,FALSE())</f>
        <v>5</v>
      </c>
      <c r="E171" s="7" t="s">
        <v>270</v>
      </c>
      <c r="F171" s="10" t="str">
        <f aca="false">VLOOKUP(E171,Compounds!$A$3:$B$152,2,FALSE())</f>
        <v>Zinc Stannate</v>
      </c>
      <c r="G171" s="7" t="s">
        <v>318</v>
      </c>
      <c r="H171" s="10" t="str">
        <f aca="false">VLOOKUP(G171,Compounds!$A$3:$B$152,2,FALSE())</f>
        <v>Single-Crystal Sapphire</v>
      </c>
      <c r="I171" s="7" t="s">
        <v>455</v>
      </c>
      <c r="J171" s="7"/>
      <c r="K171" s="7" t="s">
        <v>637</v>
      </c>
    </row>
    <row r="172" customFormat="false" ht="15" hidden="false" customHeight="true" outlineLevel="0" collapsed="false">
      <c r="A172" s="3" t="s">
        <v>646</v>
      </c>
      <c r="B172" s="7" t="s">
        <v>401</v>
      </c>
      <c r="C172" s="10" t="str">
        <f aca="false">VLOOKUP(B172,Compounds!$A$3:$B$152,2,FALSE())</f>
        <v>Memristive Compound</v>
      </c>
      <c r="D172" s="8" t="n">
        <f aca="false">VLOOKUP(B172,Compounds!$A$3:$C$152,3,FALSE())</f>
        <v>5</v>
      </c>
      <c r="E172" s="7" t="s">
        <v>290</v>
      </c>
      <c r="F172" s="10" t="str">
        <f aca="false">VLOOKUP(E172,Compounds!$A$3:$B$152,2,FALSE())</f>
        <v>Copper Tungstate</v>
      </c>
      <c r="G172" s="7" t="s">
        <v>333</v>
      </c>
      <c r="H172" s="10" t="str">
        <f aca="false">VLOOKUP(G172,Compounds!$A$3:$B$152,2,FALSE())</f>
        <v>Shape-Memory Nitinol</v>
      </c>
      <c r="I172" s="7" t="s">
        <v>455</v>
      </c>
      <c r="J172" s="7"/>
      <c r="K172" s="7" t="s">
        <v>637</v>
      </c>
    </row>
    <row r="173" customFormat="false" ht="15" hidden="false" customHeight="true" outlineLevel="0" collapsed="false">
      <c r="A173" s="3" t="s">
        <v>647</v>
      </c>
      <c r="B173" s="7" t="s">
        <v>367</v>
      </c>
      <c r="C173" s="10" t="str">
        <f aca="false">VLOOKUP(B173,Compounds!$A$3:$B$152,2,FALSE())</f>
        <v>Graphene Lattice</v>
      </c>
      <c r="D173" s="8" t="n">
        <f aca="false">VLOOKUP(B173,Compounds!$A$3:$C$152,3,FALSE())</f>
        <v>5</v>
      </c>
      <c r="E173" s="7" t="s">
        <v>295</v>
      </c>
      <c r="F173" s="10" t="str">
        <f aca="false">VLOOKUP(E173,Compounds!$A$3:$B$152,2,FALSE())</f>
        <v>Sodium Niobate</v>
      </c>
      <c r="G173" s="7" t="s">
        <v>320</v>
      </c>
      <c r="H173" s="10" t="str">
        <f aca="false">VLOOKUP(G173,Compounds!$A$3:$B$152,2,FALSE())</f>
        <v>Stabilized Zirconia</v>
      </c>
      <c r="I173" s="7" t="s">
        <v>455</v>
      </c>
      <c r="J173" s="7"/>
      <c r="K173" s="7" t="s">
        <v>637</v>
      </c>
    </row>
    <row r="174" customFormat="false" ht="15" hidden="false" customHeight="true" outlineLevel="0" collapsed="false">
      <c r="A174" s="3" t="s">
        <v>648</v>
      </c>
      <c r="B174" s="7" t="s">
        <v>370</v>
      </c>
      <c r="C174" s="10" t="str">
        <f aca="false">VLOOKUP(B174,Compounds!$A$3:$B$152,2,FALSE())</f>
        <v>Carbon Nanotube Array</v>
      </c>
      <c r="D174" s="8" t="n">
        <f aca="false">VLOOKUP(B174,Compounds!$A$3:$C$152,3,FALSE())</f>
        <v>5</v>
      </c>
      <c r="E174" s="7" t="s">
        <v>218</v>
      </c>
      <c r="F174" s="10" t="str">
        <f aca="false">VLOOKUP(E174,Compounds!$A$3:$B$152,2,FALSE())</f>
        <v>Cupronickel Matrix</v>
      </c>
      <c r="G174" s="7" t="s">
        <v>322</v>
      </c>
      <c r="H174" s="10" t="str">
        <f aca="false">VLOOKUP(G174,Compounds!$A$3:$B$152,2,FALSE())</f>
        <v>Photonic Silica</v>
      </c>
      <c r="I174" s="7" t="s">
        <v>455</v>
      </c>
      <c r="J174" s="7"/>
      <c r="K174" s="7" t="s">
        <v>637</v>
      </c>
    </row>
    <row r="175" customFormat="false" ht="15" hidden="false" customHeight="true" outlineLevel="0" collapsed="false">
      <c r="A175" s="3" t="s">
        <v>649</v>
      </c>
      <c r="B175" s="7" t="s">
        <v>373</v>
      </c>
      <c r="C175" s="10" t="str">
        <f aca="false">VLOOKUP(B175,Compounds!$A$3:$B$152,2,FALSE())</f>
        <v>Metamaterial Substrate</v>
      </c>
      <c r="D175" s="8" t="n">
        <f aca="false">VLOOKUP(B175,Compounds!$A$3:$C$152,3,FALSE())</f>
        <v>5</v>
      </c>
      <c r="E175" s="7" t="s">
        <v>222</v>
      </c>
      <c r="F175" s="10" t="str">
        <f aca="false">VLOOKUP(E175,Compounds!$A$3:$B$152,2,FALSE())</f>
        <v>Titanium Aluminide</v>
      </c>
      <c r="G175" s="7" t="s">
        <v>324</v>
      </c>
      <c r="H175" s="10" t="str">
        <f aca="false">VLOOKUP(G175,Compounds!$A$3:$B$152,2,FALSE())</f>
        <v>Superconducting Niobate</v>
      </c>
      <c r="I175" s="7" t="s">
        <v>455</v>
      </c>
      <c r="J175" s="7"/>
      <c r="K175" s="7" t="s">
        <v>637</v>
      </c>
    </row>
    <row r="176" customFormat="false" ht="15" hidden="false" customHeight="true" outlineLevel="0" collapsed="false">
      <c r="A176" s="3" t="s">
        <v>650</v>
      </c>
      <c r="B176" s="7" t="s">
        <v>378</v>
      </c>
      <c r="C176" s="10" t="str">
        <f aca="false">VLOOKUP(B176,Compounds!$A$3:$B$152,2,FALSE())</f>
        <v>Superfluid Matrix</v>
      </c>
      <c r="D176" s="8" t="n">
        <f aca="false">VLOOKUP(B176,Compounds!$A$3:$C$152,3,FALSE())</f>
        <v>5</v>
      </c>
      <c r="E176" s="7" t="s">
        <v>226</v>
      </c>
      <c r="F176" s="10" t="str">
        <f aca="false">VLOOKUP(E176,Compounds!$A$3:$B$152,2,FALSE())</f>
        <v>Zirconium Carbide</v>
      </c>
      <c r="G176" s="7" t="s">
        <v>326</v>
      </c>
      <c r="H176" s="10" t="str">
        <f aca="false">VLOOKUP(G176,Compounds!$A$3:$B$152,2,FALSE())</f>
        <v>Carbon Nanoweave</v>
      </c>
      <c r="I176" s="7" t="s">
        <v>455</v>
      </c>
      <c r="J176" s="7"/>
      <c r="K176" s="7" t="s">
        <v>637</v>
      </c>
    </row>
    <row r="177" customFormat="false" ht="15" hidden="false" customHeight="true" outlineLevel="0" collapsed="false">
      <c r="A177" s="3" t="s">
        <v>651</v>
      </c>
      <c r="B177" s="7" t="s">
        <v>386</v>
      </c>
      <c r="C177" s="10" t="str">
        <f aca="false">VLOOKUP(B177,Compounds!$A$3:$B$152,2,FALSE())</f>
        <v>Bose Condensate Gel</v>
      </c>
      <c r="D177" s="8" t="n">
        <f aca="false">VLOOKUP(B177,Compounds!$A$3:$C$152,3,FALSE())</f>
        <v>5</v>
      </c>
      <c r="E177" s="7" t="s">
        <v>252</v>
      </c>
      <c r="F177" s="10" t="str">
        <f aca="false">VLOOKUP(E177,Compounds!$A$3:$B$152,2,FALSE())</f>
        <v>Manganese Bronze</v>
      </c>
      <c r="G177" s="7" t="s">
        <v>328</v>
      </c>
      <c r="H177" s="10" t="str">
        <f aca="false">VLOOKUP(G177,Compounds!$A$3:$B$152,2,FALSE())</f>
        <v>Aerogel Substrate</v>
      </c>
      <c r="I177" s="7" t="s">
        <v>455</v>
      </c>
      <c r="J177" s="7"/>
      <c r="K177" s="7" t="s">
        <v>637</v>
      </c>
    </row>
    <row r="178" customFormat="false" ht="15" hidden="false" customHeight="true" outlineLevel="0" collapsed="false">
      <c r="A178" s="3" t="s">
        <v>652</v>
      </c>
      <c r="B178" s="7" t="s">
        <v>388</v>
      </c>
      <c r="C178" s="10" t="str">
        <f aca="false">VLOOKUP(B178,Compounds!$A$3:$B$152,2,FALSE())</f>
        <v>Programmable Matter Seed</v>
      </c>
      <c r="D178" s="8" t="n">
        <f aca="false">VLOOKUP(B178,Compounds!$A$3:$C$152,3,FALSE())</f>
        <v>5</v>
      </c>
      <c r="E178" s="7" t="s">
        <v>255</v>
      </c>
      <c r="F178" s="10" t="str">
        <f aca="false">VLOOKUP(E178,Compounds!$A$3:$B$152,2,FALSE())</f>
        <v>Phosphor Bronze</v>
      </c>
      <c r="G178" s="7" t="s">
        <v>335</v>
      </c>
      <c r="H178" s="10" t="str">
        <f aca="false">VLOOKUP(G178,Compounds!$A$3:$B$152,2,FALSE())</f>
        <v>Piezoelectric Quartzite</v>
      </c>
      <c r="I178" s="7" t="s">
        <v>455</v>
      </c>
      <c r="J178" s="7"/>
      <c r="K178" s="7" t="s">
        <v>637</v>
      </c>
    </row>
    <row r="179" customFormat="false" ht="15" hidden="false" customHeight="true" outlineLevel="0" collapsed="false">
      <c r="A179" s="3" t="s">
        <v>653</v>
      </c>
      <c r="B179" s="7" t="s">
        <v>390</v>
      </c>
      <c r="C179" s="10" t="str">
        <f aca="false">VLOOKUP(B179,Compounds!$A$3:$B$152,2,FALSE())</f>
        <v>Self-Healing Polymer</v>
      </c>
      <c r="D179" s="8" t="n">
        <f aca="false">VLOOKUP(B179,Compounds!$A$3:$C$152,3,FALSE())</f>
        <v>5</v>
      </c>
      <c r="E179" s="7" t="s">
        <v>258</v>
      </c>
      <c r="F179" s="10" t="str">
        <f aca="false">VLOOKUP(E179,Compounds!$A$3:$B$152,2,FALSE())</f>
        <v>Magnesium Spinel</v>
      </c>
      <c r="G179" s="7" t="s">
        <v>339</v>
      </c>
      <c r="H179" s="10" t="str">
        <f aca="false">VLOOKUP(G179,Compounds!$A$3:$B$152,2,FALSE())</f>
        <v>Ferrofluid Concentrate</v>
      </c>
      <c r="I179" s="7" t="s">
        <v>455</v>
      </c>
      <c r="J179" s="7"/>
      <c r="K179" s="7" t="s">
        <v>637</v>
      </c>
    </row>
    <row r="180" customFormat="false" ht="15" hidden="false" customHeight="true" outlineLevel="0" collapsed="false">
      <c r="A180" s="3" t="s">
        <v>654</v>
      </c>
      <c r="B180" s="7" t="s">
        <v>392</v>
      </c>
      <c r="C180" s="10" t="str">
        <f aca="false">VLOOKUP(B180,Compounds!$A$3:$B$152,2,FALSE())</f>
        <v>Diamond Nanothread</v>
      </c>
      <c r="D180" s="8" t="n">
        <f aca="false">VLOOKUP(B180,Compounds!$A$3:$C$152,3,FALSE())</f>
        <v>5</v>
      </c>
      <c r="E180" s="7" t="s">
        <v>261</v>
      </c>
      <c r="F180" s="10" t="str">
        <f aca="false">VLOOKUP(E180,Compounds!$A$3:$B$152,2,FALSE())</f>
        <v>Lithium Titanate Spinel</v>
      </c>
      <c r="G180" s="7" t="s">
        <v>341</v>
      </c>
      <c r="H180" s="10" t="str">
        <f aca="false">VLOOKUP(G180,Compounds!$A$3:$B$152,2,FALSE())</f>
        <v>Electrochromic Oxide</v>
      </c>
      <c r="I180" s="7" t="s">
        <v>455</v>
      </c>
      <c r="J180" s="7"/>
      <c r="K180" s="7" t="s">
        <v>637</v>
      </c>
    </row>
    <row r="181" customFormat="false" ht="15" hidden="false" customHeight="true" outlineLevel="0" collapsed="false">
      <c r="A181" s="3" t="s">
        <v>655</v>
      </c>
      <c r="B181" s="7" t="s">
        <v>403</v>
      </c>
      <c r="C181" s="10" t="str">
        <f aca="false">VLOOKUP(B181,Compounds!$A$3:$B$152,2,FALSE())</f>
        <v>Auxetic Foam</v>
      </c>
      <c r="D181" s="8" t="n">
        <f aca="false">VLOOKUP(B181,Compounds!$A$3:$C$152,3,FALSE())</f>
        <v>5</v>
      </c>
      <c r="E181" s="7" t="s">
        <v>264</v>
      </c>
      <c r="F181" s="10" t="str">
        <f aca="false">VLOOKUP(E181,Compounds!$A$3:$B$152,2,FALSE())</f>
        <v>Barium Zirconate</v>
      </c>
      <c r="G181" s="7" t="s">
        <v>343</v>
      </c>
      <c r="H181" s="10" t="str">
        <f aca="false">VLOOKUP(G181,Compounds!$A$3:$B$152,2,FALSE())</f>
        <v>Photoluminescent Phosphor</v>
      </c>
      <c r="I181" s="7" t="s">
        <v>455</v>
      </c>
      <c r="J181" s="7"/>
      <c r="K181" s="7" t="s">
        <v>637</v>
      </c>
    </row>
    <row r="182" customFormat="false" ht="15" hidden="false" customHeight="true" outlineLevel="0" collapsed="false">
      <c r="A182" s="3" t="s">
        <v>656</v>
      </c>
      <c r="B182" s="7" t="s">
        <v>405</v>
      </c>
      <c r="C182" s="10" t="str">
        <f aca="false">VLOOKUP(B182,Compounds!$A$3:$B$152,2,FALSE())</f>
        <v>Ionic Liquid Crystal</v>
      </c>
      <c r="D182" s="8" t="n">
        <f aca="false">VLOOKUP(B182,Compounds!$A$3:$C$152,3,FALSE())</f>
        <v>5</v>
      </c>
      <c r="E182" s="7" t="s">
        <v>267</v>
      </c>
      <c r="F182" s="10" t="str">
        <f aca="false">VLOOKUP(E182,Compounds!$A$3:$B$152,2,FALSE())</f>
        <v>Strontium Ferrite</v>
      </c>
      <c r="G182" s="7" t="s">
        <v>346</v>
      </c>
      <c r="H182" s="10" t="str">
        <f aca="false">VLOOKUP(G182,Compounds!$A$3:$B$152,2,FALSE())</f>
        <v>Dielectric Ceramite</v>
      </c>
      <c r="I182" s="7" t="s">
        <v>455</v>
      </c>
      <c r="J182" s="7"/>
      <c r="K182" s="7" t="s">
        <v>637</v>
      </c>
    </row>
    <row r="183" customFormat="false" ht="15" hidden="false" customHeight="true" outlineLevel="0" collapsed="false">
      <c r="A183" s="3" t="s">
        <v>657</v>
      </c>
      <c r="B183" s="7" t="s">
        <v>367</v>
      </c>
      <c r="C183" s="10" t="str">
        <f aca="false">VLOOKUP(B183,Compounds!$A$3:$B$152,2,FALSE())</f>
        <v>Graphene Lattice</v>
      </c>
      <c r="D183" s="8" t="n">
        <f aca="false">VLOOKUP(B183,Compounds!$A$3:$C$152,3,FALSE())</f>
        <v>5</v>
      </c>
      <c r="E183" s="7" t="s">
        <v>273</v>
      </c>
      <c r="F183" s="10" t="str">
        <f aca="false">VLOOKUP(E183,Compounds!$A$3:$B$152,2,FALSE())</f>
        <v>Tungsten Bronze</v>
      </c>
      <c r="G183" s="7" t="s">
        <v>350</v>
      </c>
      <c r="H183" s="10" t="str">
        <f aca="false">VLOOKUP(G183,Compounds!$A$3:$B$152,2,FALSE())</f>
        <v>Refractory Carbide</v>
      </c>
      <c r="I183" s="7" t="s">
        <v>555</v>
      </c>
      <c r="J183" s="7" t="s">
        <v>658</v>
      </c>
      <c r="K183" s="7" t="s">
        <v>637</v>
      </c>
    </row>
    <row r="184" customFormat="false" ht="15" hidden="false" customHeight="true" outlineLevel="0" collapsed="false">
      <c r="A184" s="3" t="s">
        <v>659</v>
      </c>
      <c r="B184" s="7" t="s">
        <v>370</v>
      </c>
      <c r="C184" s="10" t="str">
        <f aca="false">VLOOKUP(B184,Compounds!$A$3:$B$152,2,FALSE())</f>
        <v>Carbon Nanotube Array</v>
      </c>
      <c r="D184" s="8" t="n">
        <f aca="false">VLOOKUP(B184,Compounds!$A$3:$C$152,3,FALSE())</f>
        <v>5</v>
      </c>
      <c r="E184" s="7" t="s">
        <v>273</v>
      </c>
      <c r="F184" s="10" t="str">
        <f aca="false">VLOOKUP(E184,Compounds!$A$3:$B$152,2,FALSE())</f>
        <v>Tungsten Bronze</v>
      </c>
      <c r="G184" s="7" t="s">
        <v>350</v>
      </c>
      <c r="H184" s="10" t="str">
        <f aca="false">VLOOKUP(G184,Compounds!$A$3:$B$152,2,FALSE())</f>
        <v>Refractory Carbide</v>
      </c>
      <c r="I184" s="7" t="s">
        <v>558</v>
      </c>
      <c r="J184" s="7" t="s">
        <v>658</v>
      </c>
      <c r="K184" s="7" t="s">
        <v>637</v>
      </c>
    </row>
    <row r="185" customFormat="false" ht="15" hidden="false" customHeight="true" outlineLevel="0" collapsed="false">
      <c r="A185" s="3" t="s">
        <v>660</v>
      </c>
      <c r="B185" s="7" t="s">
        <v>373</v>
      </c>
      <c r="C185" s="10" t="str">
        <f aca="false">VLOOKUP(B185,Compounds!$A$3:$B$152,2,FALSE())</f>
        <v>Metamaterial Substrate</v>
      </c>
      <c r="D185" s="8" t="n">
        <f aca="false">VLOOKUP(B185,Compounds!$A$3:$C$152,3,FALSE())</f>
        <v>5</v>
      </c>
      <c r="E185" s="7" t="s">
        <v>275</v>
      </c>
      <c r="F185" s="10" t="str">
        <f aca="false">VLOOKUP(E185,Compounds!$A$3:$B$152,2,FALSE())</f>
        <v>Vanadium Steel</v>
      </c>
      <c r="G185" s="7" t="s">
        <v>352</v>
      </c>
      <c r="H185" s="10" t="str">
        <f aca="false">VLOOKUP(G185,Compounds!$A$3:$B$152,2,FALSE())</f>
        <v>Conductive Polymer Base</v>
      </c>
      <c r="I185" s="7" t="s">
        <v>555</v>
      </c>
      <c r="J185" s="7" t="s">
        <v>661</v>
      </c>
      <c r="K185" s="7" t="s">
        <v>637</v>
      </c>
    </row>
    <row r="186" customFormat="false" ht="15" hidden="false" customHeight="true" outlineLevel="0" collapsed="false">
      <c r="A186" s="3" t="s">
        <v>662</v>
      </c>
      <c r="B186" s="7" t="s">
        <v>378</v>
      </c>
      <c r="C186" s="10" t="str">
        <f aca="false">VLOOKUP(B186,Compounds!$A$3:$B$152,2,FALSE())</f>
        <v>Superfluid Matrix</v>
      </c>
      <c r="D186" s="8" t="n">
        <f aca="false">VLOOKUP(B186,Compounds!$A$3:$C$152,3,FALSE())</f>
        <v>5</v>
      </c>
      <c r="E186" s="7" t="s">
        <v>275</v>
      </c>
      <c r="F186" s="10" t="str">
        <f aca="false">VLOOKUP(E186,Compounds!$A$3:$B$152,2,FALSE())</f>
        <v>Vanadium Steel</v>
      </c>
      <c r="G186" s="7" t="s">
        <v>352</v>
      </c>
      <c r="H186" s="10" t="str">
        <f aca="false">VLOOKUP(G186,Compounds!$A$3:$B$152,2,FALSE())</f>
        <v>Conductive Polymer Base</v>
      </c>
      <c r="I186" s="7" t="s">
        <v>558</v>
      </c>
      <c r="J186" s="7" t="s">
        <v>661</v>
      </c>
      <c r="K186" s="7" t="s">
        <v>637</v>
      </c>
    </row>
    <row r="187" customFormat="false" ht="15" hidden="false" customHeight="true" outlineLevel="0" collapsed="false">
      <c r="A187" s="3" t="s">
        <v>663</v>
      </c>
      <c r="B187" s="7" t="s">
        <v>386</v>
      </c>
      <c r="C187" s="10" t="str">
        <f aca="false">VLOOKUP(B187,Compounds!$A$3:$B$152,2,FALSE())</f>
        <v>Bose Condensate Gel</v>
      </c>
      <c r="D187" s="8" t="n">
        <f aca="false">VLOOKUP(B187,Compounds!$A$3:$C$152,3,FALSE())</f>
        <v>5</v>
      </c>
      <c r="E187" s="7" t="s">
        <v>278</v>
      </c>
      <c r="F187" s="10" t="str">
        <f aca="false">VLOOKUP(E187,Compounds!$A$3:$B$152,2,FALSE())</f>
        <v>Cobalt Ferrite</v>
      </c>
      <c r="G187" s="7" t="s">
        <v>354</v>
      </c>
      <c r="H187" s="10" t="str">
        <f aca="false">VLOOKUP(G187,Compounds!$A$3:$B$152,2,FALSE())</f>
        <v>Magnetocaloric Alloy</v>
      </c>
      <c r="I187" s="7" t="s">
        <v>555</v>
      </c>
      <c r="J187" s="7" t="s">
        <v>664</v>
      </c>
      <c r="K187" s="7" t="s">
        <v>637</v>
      </c>
    </row>
    <row r="188" customFormat="false" ht="15" hidden="false" customHeight="true" outlineLevel="0" collapsed="false">
      <c r="A188" s="3" t="s">
        <v>665</v>
      </c>
      <c r="B188" s="7" t="s">
        <v>388</v>
      </c>
      <c r="C188" s="10" t="str">
        <f aca="false">VLOOKUP(B188,Compounds!$A$3:$B$152,2,FALSE())</f>
        <v>Programmable Matter Seed</v>
      </c>
      <c r="D188" s="8" t="n">
        <f aca="false">VLOOKUP(B188,Compounds!$A$3:$C$152,3,FALSE())</f>
        <v>5</v>
      </c>
      <c r="E188" s="7" t="s">
        <v>278</v>
      </c>
      <c r="F188" s="10" t="str">
        <f aca="false">VLOOKUP(E188,Compounds!$A$3:$B$152,2,FALSE())</f>
        <v>Cobalt Ferrite</v>
      </c>
      <c r="G188" s="7" t="s">
        <v>354</v>
      </c>
      <c r="H188" s="10" t="str">
        <f aca="false">VLOOKUP(G188,Compounds!$A$3:$B$152,2,FALSE())</f>
        <v>Magnetocaloric Alloy</v>
      </c>
      <c r="I188" s="7" t="s">
        <v>558</v>
      </c>
      <c r="J188" s="7" t="s">
        <v>664</v>
      </c>
      <c r="K188" s="7" t="s">
        <v>637</v>
      </c>
    </row>
    <row r="189" customFormat="false" ht="15" hidden="false" customHeight="true" outlineLevel="0" collapsed="false">
      <c r="A189" s="3" t="s">
        <v>666</v>
      </c>
      <c r="B189" s="7" t="s">
        <v>390</v>
      </c>
      <c r="C189" s="10" t="str">
        <f aca="false">VLOOKUP(B189,Compounds!$A$3:$B$152,2,FALSE())</f>
        <v>Self-Healing Polymer</v>
      </c>
      <c r="D189" s="8" t="n">
        <f aca="false">VLOOKUP(B189,Compounds!$A$3:$C$152,3,FALSE())</f>
        <v>5</v>
      </c>
      <c r="E189" s="7" t="s">
        <v>281</v>
      </c>
      <c r="F189" s="10" t="str">
        <f aca="false">VLOOKUP(E189,Compounds!$A$3:$B$152,2,FALSE())</f>
        <v>Nickel-Titanium Ingot</v>
      </c>
      <c r="G189" s="7" t="s">
        <v>357</v>
      </c>
      <c r="H189" s="10" t="str">
        <f aca="false">VLOOKUP(G189,Compounds!$A$3:$B$152,2,FALSE())</f>
        <v>Catalytic Vanadia</v>
      </c>
      <c r="I189" s="7" t="s">
        <v>555</v>
      </c>
      <c r="J189" s="7" t="s">
        <v>667</v>
      </c>
      <c r="K189" s="7" t="s">
        <v>637</v>
      </c>
    </row>
    <row r="190" customFormat="false" ht="15" hidden="false" customHeight="true" outlineLevel="0" collapsed="false">
      <c r="A190" s="3" t="s">
        <v>668</v>
      </c>
      <c r="B190" s="7" t="s">
        <v>392</v>
      </c>
      <c r="C190" s="10" t="str">
        <f aca="false">VLOOKUP(B190,Compounds!$A$3:$B$152,2,FALSE())</f>
        <v>Diamond Nanothread</v>
      </c>
      <c r="D190" s="8" t="n">
        <f aca="false">VLOOKUP(B190,Compounds!$A$3:$C$152,3,FALSE())</f>
        <v>5</v>
      </c>
      <c r="E190" s="7" t="s">
        <v>281</v>
      </c>
      <c r="F190" s="10" t="str">
        <f aca="false">VLOOKUP(E190,Compounds!$A$3:$B$152,2,FALSE())</f>
        <v>Nickel-Titanium Ingot</v>
      </c>
      <c r="G190" s="7" t="s">
        <v>357</v>
      </c>
      <c r="H190" s="10" t="str">
        <f aca="false">VLOOKUP(G190,Compounds!$A$3:$B$152,2,FALSE())</f>
        <v>Catalytic Vanadia</v>
      </c>
      <c r="I190" s="7" t="s">
        <v>558</v>
      </c>
      <c r="J190" s="7" t="s">
        <v>667</v>
      </c>
      <c r="K190" s="7" t="s">
        <v>637</v>
      </c>
    </row>
    <row r="191" customFormat="false" ht="15" hidden="false" customHeight="true" outlineLevel="0" collapsed="false">
      <c r="A191" s="3" t="s">
        <v>669</v>
      </c>
      <c r="B191" s="7" t="s">
        <v>361</v>
      </c>
      <c r="C191" s="10" t="str">
        <f aca="false">VLOOKUP(B191,Compounds!$A$3:$B$152,2,FALSE())</f>
        <v>Zinc Polymer</v>
      </c>
      <c r="D191" s="8" t="n">
        <f aca="false">VLOOKUP(B191,Compounds!$A$3:$C$152,3,FALSE())</f>
        <v>5</v>
      </c>
      <c r="E191" s="7" t="s">
        <v>270</v>
      </c>
      <c r="F191" s="10" t="str">
        <f aca="false">VLOOKUP(E191,Compounds!$A$3:$B$152,2,FALSE())</f>
        <v>Zinc Stannate</v>
      </c>
      <c r="G191" s="7" t="s">
        <v>359</v>
      </c>
      <c r="H191" s="10" t="str">
        <f aca="false">VLOOKUP(G191,Compounds!$A$3:$B$152,2,FALSE())</f>
        <v>Hard Anodize Composite</v>
      </c>
      <c r="I191" s="7" t="s">
        <v>455</v>
      </c>
      <c r="J191" s="7"/>
      <c r="K191" s="7" t="s">
        <v>637</v>
      </c>
    </row>
    <row r="192" customFormat="false" ht="15" hidden="false" customHeight="true" outlineLevel="0" collapsed="false">
      <c r="A192" s="3" t="s">
        <v>670</v>
      </c>
      <c r="B192" s="7" t="s">
        <v>364</v>
      </c>
      <c r="C192" s="10" t="str">
        <f aca="false">VLOOKUP(B192,Compounds!$A$3:$B$152,2,FALSE())</f>
        <v>Quantum Dot Suspension</v>
      </c>
      <c r="D192" s="8" t="n">
        <f aca="false">VLOOKUP(B192,Compounds!$A$3:$C$152,3,FALSE())</f>
        <v>5</v>
      </c>
      <c r="E192" s="7" t="s">
        <v>270</v>
      </c>
      <c r="F192" s="10" t="str">
        <f aca="false">VLOOKUP(E192,Compounds!$A$3:$B$152,2,FALSE())</f>
        <v>Zinc Stannate</v>
      </c>
      <c r="G192" s="7" t="s">
        <v>301</v>
      </c>
      <c r="H192" s="10" t="str">
        <f aca="false">VLOOKUP(G192,Compounds!$A$3:$B$152,2,FALSE())</f>
        <v>Synthetic Corundum</v>
      </c>
      <c r="I192" s="7" t="s">
        <v>455</v>
      </c>
      <c r="J192" s="7"/>
      <c r="K192" s="7" t="s">
        <v>637</v>
      </c>
    </row>
    <row r="193" customFormat="false" ht="15" hidden="false" customHeight="true" outlineLevel="0" collapsed="false">
      <c r="A193" s="3" t="s">
        <v>671</v>
      </c>
      <c r="B193" s="7" t="s">
        <v>407</v>
      </c>
      <c r="C193" s="10" t="str">
        <f aca="false">VLOOKUP(B193,Compounds!$A$3:$B$152,2,FALSE())</f>
        <v>Stabilized Muonium</v>
      </c>
      <c r="D193" s="8" t="n">
        <f aca="false">VLOOKUP(B193,Compounds!$A$3:$C$152,3,FALSE())</f>
        <v>6</v>
      </c>
      <c r="E193" s="7" t="s">
        <v>304</v>
      </c>
      <c r="F193" s="10" t="str">
        <f aca="false">VLOOKUP(E193,Compounds!$A$3:$B$152,2,FALSE())</f>
        <v>Cubic Boron Nitride</v>
      </c>
      <c r="G193" s="7" t="s">
        <v>361</v>
      </c>
      <c r="H193" s="10" t="str">
        <f aca="false">VLOOKUP(G193,Compounds!$A$3:$B$152,2,FALSE())</f>
        <v>Zinc Polymer</v>
      </c>
      <c r="I193" s="7" t="s">
        <v>455</v>
      </c>
      <c r="J193" s="7"/>
      <c r="K193" s="7" t="s">
        <v>672</v>
      </c>
    </row>
    <row r="194" customFormat="false" ht="15" hidden="false" customHeight="true" outlineLevel="0" collapsed="false">
      <c r="A194" s="3" t="s">
        <v>673</v>
      </c>
      <c r="B194" s="7" t="s">
        <v>410</v>
      </c>
      <c r="C194" s="10" t="str">
        <f aca="false">VLOOKUP(B194,Compounds!$A$3:$B$152,2,FALSE())</f>
        <v>Coherent Plasma Lattice</v>
      </c>
      <c r="D194" s="8" t="n">
        <f aca="false">VLOOKUP(B194,Compounds!$A$3:$C$152,3,FALSE())</f>
        <v>6</v>
      </c>
      <c r="E194" s="7" t="s">
        <v>308</v>
      </c>
      <c r="F194" s="10" t="str">
        <f aca="false">VLOOKUP(E194,Compounds!$A$3:$B$152,2,FALSE())</f>
        <v>Pyrolytic Graphite</v>
      </c>
      <c r="G194" s="7" t="s">
        <v>364</v>
      </c>
      <c r="H194" s="10" t="str">
        <f aca="false">VLOOKUP(G194,Compounds!$A$3:$B$152,2,FALSE())</f>
        <v>Quantum Dot Suspension</v>
      </c>
      <c r="I194" s="7" t="s">
        <v>455</v>
      </c>
      <c r="J194" s="7"/>
      <c r="K194" s="7" t="s">
        <v>672</v>
      </c>
    </row>
    <row r="195" customFormat="false" ht="15" hidden="false" customHeight="true" outlineLevel="0" collapsed="false">
      <c r="A195" s="3" t="s">
        <v>674</v>
      </c>
      <c r="B195" s="7" t="s">
        <v>413</v>
      </c>
      <c r="C195" s="10" t="str">
        <f aca="false">VLOOKUP(B195,Compounds!$A$3:$B$152,2,FALSE())</f>
        <v>Isochronal Lattice</v>
      </c>
      <c r="D195" s="8" t="n">
        <f aca="false">VLOOKUP(B195,Compounds!$A$3:$C$152,3,FALSE())</f>
        <v>6</v>
      </c>
      <c r="E195" s="7" t="s">
        <v>312</v>
      </c>
      <c r="F195" s="10" t="str">
        <f aca="false">VLOOKUP(E195,Compounds!$A$3:$B$152,2,FALSE())</f>
        <v>Fused Silica Composite</v>
      </c>
      <c r="G195" s="7" t="s">
        <v>367</v>
      </c>
      <c r="H195" s="10" t="str">
        <f aca="false">VLOOKUP(G195,Compounds!$A$3:$B$152,2,FALSE())</f>
        <v>Graphene Lattice</v>
      </c>
      <c r="I195" s="7" t="s">
        <v>455</v>
      </c>
      <c r="J195" s="7"/>
      <c r="K195" s="7" t="s">
        <v>672</v>
      </c>
    </row>
    <row r="196" customFormat="false" ht="15" hidden="false" customHeight="true" outlineLevel="0" collapsed="false">
      <c r="A196" s="3" t="s">
        <v>675</v>
      </c>
      <c r="B196" s="7" t="s">
        <v>416</v>
      </c>
      <c r="C196" s="10" t="str">
        <f aca="false">VLOOKUP(B196,Compounds!$A$3:$B$152,2,FALSE())</f>
        <v>Vacuum-Phase Crystal</v>
      </c>
      <c r="D196" s="8" t="n">
        <f aca="false">VLOOKUP(B196,Compounds!$A$3:$C$152,3,FALSE())</f>
        <v>6</v>
      </c>
      <c r="E196" s="7" t="s">
        <v>315</v>
      </c>
      <c r="F196" s="10" t="str">
        <f aca="false">VLOOKUP(E196,Compounds!$A$3:$B$152,2,FALSE())</f>
        <v>Amorphous Ferrosilicon</v>
      </c>
      <c r="G196" s="7" t="s">
        <v>370</v>
      </c>
      <c r="H196" s="10" t="str">
        <f aca="false">VLOOKUP(G196,Compounds!$A$3:$B$152,2,FALSE())</f>
        <v>Carbon Nanotube Array</v>
      </c>
      <c r="I196" s="7" t="s">
        <v>455</v>
      </c>
      <c r="J196" s="7"/>
      <c r="K196" s="7" t="s">
        <v>672</v>
      </c>
    </row>
    <row r="197" customFormat="false" ht="15" hidden="false" customHeight="true" outlineLevel="0" collapsed="false">
      <c r="A197" s="3" t="s">
        <v>676</v>
      </c>
      <c r="B197" s="7" t="s">
        <v>419</v>
      </c>
      <c r="C197" s="10" t="str">
        <f aca="false">VLOOKUP(B197,Compounds!$A$3:$B$152,2,FALSE())</f>
        <v>Chronostable Isotope</v>
      </c>
      <c r="D197" s="8" t="n">
        <f aca="false">VLOOKUP(B197,Compounds!$A$3:$C$152,3,FALSE())</f>
        <v>6</v>
      </c>
      <c r="E197" s="7" t="s">
        <v>318</v>
      </c>
      <c r="F197" s="10" t="str">
        <f aca="false">VLOOKUP(E197,Compounds!$A$3:$B$152,2,FALSE())</f>
        <v>Single-Crystal Sapphire</v>
      </c>
      <c r="G197" s="7" t="s">
        <v>373</v>
      </c>
      <c r="H197" s="10" t="str">
        <f aca="false">VLOOKUP(G197,Compounds!$A$3:$B$152,2,FALSE())</f>
        <v>Metamaterial Substrate</v>
      </c>
      <c r="I197" s="7" t="s">
        <v>455</v>
      </c>
      <c r="J197" s="7"/>
      <c r="K197" s="7" t="s">
        <v>672</v>
      </c>
    </row>
    <row r="198" customFormat="false" ht="15" hidden="false" customHeight="true" outlineLevel="0" collapsed="false">
      <c r="A198" s="3" t="s">
        <v>677</v>
      </c>
      <c r="B198" s="7" t="s">
        <v>422</v>
      </c>
      <c r="C198" s="10" t="str">
        <f aca="false">VLOOKUP(B198,Compounds!$A$3:$B$152,2,FALSE())</f>
        <v>Dark Lattice Composite</v>
      </c>
      <c r="D198" s="8" t="n">
        <f aca="false">VLOOKUP(B198,Compounds!$A$3:$C$152,3,FALSE())</f>
        <v>6</v>
      </c>
      <c r="E198" s="7" t="s">
        <v>320</v>
      </c>
      <c r="F198" s="10" t="str">
        <f aca="false">VLOOKUP(E198,Compounds!$A$3:$B$152,2,FALSE())</f>
        <v>Stabilized Zirconia</v>
      </c>
      <c r="G198" s="7" t="s">
        <v>376</v>
      </c>
      <c r="H198" s="10" t="str">
        <f aca="false">VLOOKUP(G198,Compounds!$A$3:$B$152,2,FALSE())</f>
        <v>Topological Insulator</v>
      </c>
      <c r="I198" s="7" t="s">
        <v>455</v>
      </c>
      <c r="J198" s="7"/>
      <c r="K198" s="7" t="s">
        <v>672</v>
      </c>
    </row>
    <row r="199" customFormat="false" ht="15" hidden="false" customHeight="true" outlineLevel="0" collapsed="false">
      <c r="A199" s="3" t="s">
        <v>678</v>
      </c>
      <c r="B199" s="7" t="s">
        <v>424</v>
      </c>
      <c r="C199" s="10" t="str">
        <f aca="false">VLOOKUP(B199,Compounds!$A$3:$B$152,2,FALSE())</f>
        <v>Zero-Point Substrate</v>
      </c>
      <c r="D199" s="8" t="n">
        <f aca="false">VLOOKUP(B199,Compounds!$A$3:$C$152,3,FALSE())</f>
        <v>6</v>
      </c>
      <c r="E199" s="7" t="s">
        <v>378</v>
      </c>
      <c r="F199" s="10" t="str">
        <f aca="false">VLOOKUP(E199,Compounds!$A$3:$B$152,2,FALSE())</f>
        <v>Superfluid Matrix</v>
      </c>
      <c r="G199" s="7" t="s">
        <v>380</v>
      </c>
      <c r="H199" s="10" t="str">
        <f aca="false">VLOOKUP(G199,Compounds!$A$3:$B$152,2,FALSE())</f>
        <v>Photonic Crystal</v>
      </c>
      <c r="I199" s="7" t="s">
        <v>455</v>
      </c>
      <c r="J199" s="7"/>
      <c r="K199" s="7" t="s">
        <v>679</v>
      </c>
    </row>
    <row r="200" customFormat="false" ht="15" hidden="false" customHeight="true" outlineLevel="0" collapsed="false">
      <c r="A200" s="3" t="s">
        <v>680</v>
      </c>
      <c r="B200" s="7" t="s">
        <v>426</v>
      </c>
      <c r="C200" s="10" t="str">
        <f aca="false">VLOOKUP(B200,Compounds!$A$3:$B$152,2,FALSE())</f>
        <v>Entangled Matrix</v>
      </c>
      <c r="D200" s="8" t="n">
        <f aca="false">VLOOKUP(B200,Compounds!$A$3:$C$152,3,FALSE())</f>
        <v>6</v>
      </c>
      <c r="E200" s="7" t="s">
        <v>322</v>
      </c>
      <c r="F200" s="10" t="str">
        <f aca="false">VLOOKUP(E200,Compounds!$A$3:$B$152,2,FALSE())</f>
        <v>Photonic Silica</v>
      </c>
      <c r="G200" s="7" t="s">
        <v>382</v>
      </c>
      <c r="H200" s="10" t="str">
        <f aca="false">VLOOKUP(G200,Compounds!$A$3:$B$152,2,FALSE())</f>
        <v>Spintronic Alloy</v>
      </c>
      <c r="I200" s="7" t="s">
        <v>455</v>
      </c>
      <c r="J200" s="7"/>
      <c r="K200" s="7" t="s">
        <v>672</v>
      </c>
    </row>
    <row r="201" customFormat="false" ht="15" hidden="false" customHeight="true" outlineLevel="0" collapsed="false">
      <c r="A201" s="3" t="s">
        <v>681</v>
      </c>
      <c r="B201" s="7" t="s">
        <v>428</v>
      </c>
      <c r="C201" s="10" t="str">
        <f aca="false">VLOOKUP(B201,Compounds!$A$3:$B$152,2,FALSE())</f>
        <v>Femtosecond Glass</v>
      </c>
      <c r="D201" s="8" t="n">
        <f aca="false">VLOOKUP(B201,Compounds!$A$3:$C$152,3,FALSE())</f>
        <v>6</v>
      </c>
      <c r="E201" s="7" t="s">
        <v>384</v>
      </c>
      <c r="F201" s="10" t="str">
        <f aca="false">VLOOKUP(E201,Compounds!$A$3:$B$152,2,FALSE())</f>
        <v>Plasmonic Composite</v>
      </c>
      <c r="G201" s="7" t="s">
        <v>386</v>
      </c>
      <c r="H201" s="10" t="str">
        <f aca="false">VLOOKUP(G201,Compounds!$A$3:$B$152,2,FALSE())</f>
        <v>Bose Condensate Gel</v>
      </c>
      <c r="I201" s="7" t="s">
        <v>455</v>
      </c>
      <c r="J201" s="7"/>
      <c r="K201" s="7" t="s">
        <v>679</v>
      </c>
    </row>
    <row r="202" customFormat="false" ht="15" hidden="false" customHeight="true" outlineLevel="0" collapsed="false">
      <c r="A202" s="3" t="s">
        <v>682</v>
      </c>
      <c r="B202" s="7" t="s">
        <v>430</v>
      </c>
      <c r="C202" s="10" t="str">
        <f aca="false">VLOOKUP(B202,Compounds!$A$3:$B$152,2,FALSE())</f>
        <v>Degenerate Matter Pellet</v>
      </c>
      <c r="D202" s="8" t="n">
        <f aca="false">VLOOKUP(B202,Compounds!$A$3:$C$152,3,FALSE())</f>
        <v>6</v>
      </c>
      <c r="E202" s="7" t="s">
        <v>324</v>
      </c>
      <c r="F202" s="10" t="str">
        <f aca="false">VLOOKUP(E202,Compounds!$A$3:$B$152,2,FALSE())</f>
        <v>Superconducting Niobate</v>
      </c>
      <c r="G202" s="7" t="s">
        <v>388</v>
      </c>
      <c r="H202" s="10" t="str">
        <f aca="false">VLOOKUP(G202,Compounds!$A$3:$B$152,2,FALSE())</f>
        <v>Programmable Matter Seed</v>
      </c>
      <c r="I202" s="7" t="s">
        <v>455</v>
      </c>
      <c r="J202" s="7"/>
      <c r="K202" s="7" t="s">
        <v>672</v>
      </c>
    </row>
    <row r="203" customFormat="false" ht="15" hidden="false" customHeight="true" outlineLevel="0" collapsed="false">
      <c r="A203" s="3" t="s">
        <v>683</v>
      </c>
      <c r="B203" s="7" t="s">
        <v>432</v>
      </c>
      <c r="C203" s="10" t="str">
        <f aca="false">VLOOKUP(B203,Compounds!$A$3:$B$152,2,FALSE())</f>
        <v>Hyperdense Ceramic</v>
      </c>
      <c r="D203" s="8" t="n">
        <f aca="false">VLOOKUP(B203,Compounds!$A$3:$C$152,3,FALSE())</f>
        <v>6</v>
      </c>
      <c r="E203" s="7" t="s">
        <v>390</v>
      </c>
      <c r="F203" s="10" t="str">
        <f aca="false">VLOOKUP(E203,Compounds!$A$3:$B$152,2,FALSE())</f>
        <v>Self-Healing Polymer</v>
      </c>
      <c r="G203" s="7" t="s">
        <v>392</v>
      </c>
      <c r="H203" s="10" t="str">
        <f aca="false">VLOOKUP(G203,Compounds!$A$3:$B$152,2,FALSE())</f>
        <v>Diamond Nanothread</v>
      </c>
      <c r="I203" s="7" t="s">
        <v>455</v>
      </c>
      <c r="J203" s="7"/>
      <c r="K203" s="7" t="s">
        <v>679</v>
      </c>
    </row>
    <row r="204" customFormat="false" ht="15" hidden="false" customHeight="true" outlineLevel="0" collapsed="false">
      <c r="A204" s="3" t="s">
        <v>684</v>
      </c>
      <c r="B204" s="7" t="s">
        <v>434</v>
      </c>
      <c r="C204" s="10" t="str">
        <f aca="false">VLOOKUP(B204,Compounds!$A$3:$B$152,2,FALSE())</f>
        <v>Singularity Alloy</v>
      </c>
      <c r="D204" s="8" t="n">
        <f aca="false">VLOOKUP(B204,Compounds!$A$3:$C$152,3,FALSE())</f>
        <v>6</v>
      </c>
      <c r="E204" s="7" t="s">
        <v>326</v>
      </c>
      <c r="F204" s="10" t="str">
        <f aca="false">VLOOKUP(E204,Compounds!$A$3:$B$152,2,FALSE())</f>
        <v>Carbon Nanoweave</v>
      </c>
      <c r="G204" s="7" t="s">
        <v>394</v>
      </c>
      <c r="H204" s="10" t="str">
        <f aca="false">VLOOKUP(G204,Compounds!$A$3:$B$152,2,FALSE())</f>
        <v>Borophene Sheet</v>
      </c>
      <c r="I204" s="7" t="s">
        <v>455</v>
      </c>
      <c r="J204" s="7"/>
      <c r="K204" s="7" t="s">
        <v>672</v>
      </c>
    </row>
    <row r="205" customFormat="false" ht="15" hidden="false" customHeight="true" outlineLevel="0" collapsed="false">
      <c r="A205" s="3" t="s">
        <v>685</v>
      </c>
      <c r="B205" s="7" t="s">
        <v>436</v>
      </c>
      <c r="C205" s="10" t="str">
        <f aca="false">VLOOKUP(B205,Compounds!$A$3:$B$152,2,FALSE())</f>
        <v>Antiferric Compound</v>
      </c>
      <c r="D205" s="8" t="n">
        <f aca="false">VLOOKUP(B205,Compounds!$A$3:$C$152,3,FALSE())</f>
        <v>6</v>
      </c>
      <c r="E205" s="7" t="s">
        <v>396</v>
      </c>
      <c r="F205" s="10" t="str">
        <f aca="false">VLOOKUP(E205,Compounds!$A$3:$B$152,2,FALSE())</f>
        <v>Stanene Film</v>
      </c>
      <c r="G205" s="7" t="s">
        <v>398</v>
      </c>
      <c r="H205" s="10" t="str">
        <f aca="false">VLOOKUP(G205,Compounds!$A$3:$B$152,2,FALSE())</f>
        <v>Perovskite Cell</v>
      </c>
      <c r="I205" s="7" t="s">
        <v>455</v>
      </c>
      <c r="J205" s="7"/>
      <c r="K205" s="7" t="s">
        <v>679</v>
      </c>
    </row>
    <row r="206" customFormat="false" ht="15" hidden="false" customHeight="true" outlineLevel="0" collapsed="false">
      <c r="A206" s="3" t="s">
        <v>686</v>
      </c>
      <c r="B206" s="7" t="s">
        <v>438</v>
      </c>
      <c r="C206" s="10" t="str">
        <f aca="false">VLOOKUP(B206,Compounds!$A$3:$B$152,2,FALSE())</f>
        <v>Quantum Foam Stabilizate</v>
      </c>
      <c r="D206" s="8" t="n">
        <f aca="false">VLOOKUP(B206,Compounds!$A$3:$C$152,3,FALSE())</f>
        <v>6</v>
      </c>
      <c r="E206" s="7" t="s">
        <v>328</v>
      </c>
      <c r="F206" s="10" t="str">
        <f aca="false">VLOOKUP(E206,Compounds!$A$3:$B$152,2,FALSE())</f>
        <v>Aerogel Substrate</v>
      </c>
      <c r="G206" s="7" t="s">
        <v>401</v>
      </c>
      <c r="H206" s="10" t="str">
        <f aca="false">VLOOKUP(G206,Compounds!$A$3:$B$152,2,FALSE())</f>
        <v>Memristive Compound</v>
      </c>
      <c r="I206" s="7" t="s">
        <v>455</v>
      </c>
      <c r="J206" s="7"/>
      <c r="K206" s="7" t="s">
        <v>672</v>
      </c>
    </row>
    <row r="207" customFormat="false" ht="15" hidden="false" customHeight="true" outlineLevel="0" collapsed="false">
      <c r="A207" s="3" t="s">
        <v>687</v>
      </c>
      <c r="B207" s="7" t="s">
        <v>440</v>
      </c>
      <c r="C207" s="10" t="str">
        <f aca="false">VLOOKUP(B207,Compounds!$A$3:$B$152,2,FALSE())</f>
        <v>Picoscale Architect</v>
      </c>
      <c r="D207" s="8" t="n">
        <f aca="false">VLOOKUP(B207,Compounds!$A$3:$C$152,3,FALSE())</f>
        <v>6</v>
      </c>
      <c r="E207" s="7" t="s">
        <v>403</v>
      </c>
      <c r="F207" s="10" t="str">
        <f aca="false">VLOOKUP(E207,Compounds!$A$3:$B$152,2,FALSE())</f>
        <v>Auxetic Foam</v>
      </c>
      <c r="G207" s="7" t="s">
        <v>405</v>
      </c>
      <c r="H207" s="10" t="str">
        <f aca="false">VLOOKUP(G207,Compounds!$A$3:$B$152,2,FALSE())</f>
        <v>Ionic Liquid Crystal</v>
      </c>
      <c r="I207" s="7" t="s">
        <v>455</v>
      </c>
      <c r="J207" s="7"/>
      <c r="K207" s="7" t="s">
        <v>679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9"/>
    <col collapsed="false" customWidth="true" hidden="false" outlineLevel="0" max="3" min="3" style="1" width="22"/>
    <col collapsed="false" customWidth="true" hidden="false" outlineLevel="0" max="4" min="4" style="1" width="9"/>
    <col collapsed="false" customWidth="true" hidden="false" outlineLevel="0" max="5" min="5" style="1" width="22"/>
    <col collapsed="false" customWidth="true" hidden="false" outlineLevel="0" max="6" min="6" style="1" width="24"/>
    <col collapsed="false" customWidth="true" hidden="false" outlineLevel="0" max="7" min="7" style="1" width="13"/>
    <col collapsed="false" customWidth="true" hidden="false" outlineLevel="0" max="8" min="8" style="1" width="18"/>
    <col collapsed="false" customWidth="true" hidden="false" outlineLevel="0" max="9" min="9" style="1" width="15"/>
    <col collapsed="false" customWidth="true" hidden="false" outlineLevel="0" max="11" min="11" style="1" width="30"/>
  </cols>
  <sheetData>
    <row r="1" customFormat="false" ht="26.25" hidden="false" customHeight="true" outlineLevel="0" collapsed="false">
      <c r="A1" s="12" t="s">
        <v>688</v>
      </c>
      <c r="B1" s="12"/>
      <c r="C1" s="12"/>
      <c r="D1" s="12"/>
      <c r="E1" s="12"/>
      <c r="F1" s="12"/>
      <c r="G1" s="12"/>
      <c r="H1" s="12"/>
      <c r="I1" s="12"/>
    </row>
    <row r="3" customFormat="false" ht="26.25" hidden="false" customHeight="true" outlineLevel="0" collapsed="false">
      <c r="A3" s="4" t="s">
        <v>689</v>
      </c>
      <c r="B3" s="4" t="s">
        <v>690</v>
      </c>
      <c r="C3" s="4" t="s">
        <v>691</v>
      </c>
      <c r="D3" s="4" t="s">
        <v>692</v>
      </c>
      <c r="E3" s="4" t="s">
        <v>693</v>
      </c>
      <c r="F3" s="4" t="s">
        <v>694</v>
      </c>
      <c r="G3" s="4" t="s">
        <v>695</v>
      </c>
      <c r="H3" s="4" t="s">
        <v>696</v>
      </c>
      <c r="I3" s="4" t="s">
        <v>697</v>
      </c>
      <c r="K3" s="2" t="s">
        <v>698</v>
      </c>
    </row>
    <row r="4" customFormat="false" ht="15" hidden="false" customHeight="true" outlineLevel="0" collapsed="false">
      <c r="A4" s="3" t="s">
        <v>699</v>
      </c>
      <c r="B4" s="7" t="s">
        <v>407</v>
      </c>
      <c r="C4" s="10" t="str">
        <f aca="false">VLOOKUP(B4,Compounds!$A$3:$B$152,2,FALSE())</f>
        <v>Stabilized Muonium</v>
      </c>
      <c r="D4" s="7" t="s">
        <v>407</v>
      </c>
      <c r="E4" s="10" t="str">
        <f aca="false">VLOOKUP(D4,Compounds!$A$3:$B$152,2,FALSE())</f>
        <v>Stabilized Muonium</v>
      </c>
      <c r="F4" s="7" t="s">
        <v>700</v>
      </c>
      <c r="G4" s="5" t="n">
        <v>376000</v>
      </c>
      <c r="H4" s="13" t="n">
        <f aca="false">G4*3</f>
        <v>1128000</v>
      </c>
      <c r="I4" s="13" t="n">
        <f aca="false">G4*0.25</f>
        <v>94000</v>
      </c>
      <c r="K4" s="5" t="n">
        <v>200000</v>
      </c>
    </row>
    <row r="5" customFormat="false" ht="15" hidden="false" customHeight="true" outlineLevel="0" collapsed="false">
      <c r="A5" s="3" t="s">
        <v>701</v>
      </c>
      <c r="B5" s="7" t="s">
        <v>407</v>
      </c>
      <c r="C5" s="10" t="str">
        <f aca="false">VLOOKUP(B5,Compounds!$A$3:$B$152,2,FALSE())</f>
        <v>Stabilized Muonium</v>
      </c>
      <c r="D5" s="7" t="s">
        <v>410</v>
      </c>
      <c r="E5" s="10" t="str">
        <f aca="false">VLOOKUP(D5,Compounds!$A$3:$B$152,2,FALSE())</f>
        <v>Coherent Plasma Lattice</v>
      </c>
      <c r="F5" s="7" t="s">
        <v>702</v>
      </c>
      <c r="G5" s="5" t="n">
        <v>495000</v>
      </c>
      <c r="H5" s="13" t="n">
        <f aca="false">G5*3</f>
        <v>1485000</v>
      </c>
      <c r="I5" s="13" t="n">
        <f aca="false">G5*0.25</f>
        <v>123750</v>
      </c>
    </row>
    <row r="6" customFormat="false" ht="15" hidden="false" customHeight="true" outlineLevel="0" collapsed="false">
      <c r="A6" s="3" t="s">
        <v>703</v>
      </c>
      <c r="B6" s="7" t="s">
        <v>407</v>
      </c>
      <c r="C6" s="10" t="str">
        <f aca="false">VLOOKUP(B6,Compounds!$A$3:$B$152,2,FALSE())</f>
        <v>Stabilized Muonium</v>
      </c>
      <c r="D6" s="7" t="s">
        <v>413</v>
      </c>
      <c r="E6" s="10" t="str">
        <f aca="false">VLOOKUP(D6,Compounds!$A$3:$B$152,2,FALSE())</f>
        <v>Isochronal Lattice</v>
      </c>
      <c r="F6" s="7" t="s">
        <v>704</v>
      </c>
      <c r="G6" s="5" t="n">
        <v>453000</v>
      </c>
      <c r="H6" s="13" t="n">
        <f aca="false">G6*3</f>
        <v>1359000</v>
      </c>
      <c r="I6" s="13" t="n">
        <f aca="false">G6*0.25</f>
        <v>113250</v>
      </c>
      <c r="K6" s="3" t="s">
        <v>705</v>
      </c>
    </row>
    <row r="7" customFormat="false" ht="15" hidden="false" customHeight="true" outlineLevel="0" collapsed="false">
      <c r="A7" s="3" t="s">
        <v>706</v>
      </c>
      <c r="B7" s="7" t="s">
        <v>407</v>
      </c>
      <c r="C7" s="10" t="str">
        <f aca="false">VLOOKUP(B7,Compounds!$A$3:$B$152,2,FALSE())</f>
        <v>Stabilized Muonium</v>
      </c>
      <c r="D7" s="7" t="s">
        <v>416</v>
      </c>
      <c r="E7" s="10" t="str">
        <f aca="false">VLOOKUP(D7,Compounds!$A$3:$B$152,2,FALSE())</f>
        <v>Vacuum-Phase Crystal</v>
      </c>
      <c r="F7" s="7" t="s">
        <v>707</v>
      </c>
      <c r="G7" s="5" t="n">
        <v>664000</v>
      </c>
      <c r="H7" s="13" t="n">
        <f aca="false">G7*3</f>
        <v>1992000</v>
      </c>
      <c r="I7" s="13" t="n">
        <f aca="false">G7*0.25</f>
        <v>166000</v>
      </c>
      <c r="K7" s="3" t="s">
        <v>708</v>
      </c>
    </row>
    <row r="8" customFormat="false" ht="15" hidden="false" customHeight="true" outlineLevel="0" collapsed="false">
      <c r="A8" s="3" t="s">
        <v>709</v>
      </c>
      <c r="B8" s="7" t="s">
        <v>407</v>
      </c>
      <c r="C8" s="10" t="str">
        <f aca="false">VLOOKUP(B8,Compounds!$A$3:$B$152,2,FALSE())</f>
        <v>Stabilized Muonium</v>
      </c>
      <c r="D8" s="7" t="s">
        <v>419</v>
      </c>
      <c r="E8" s="10" t="str">
        <f aca="false">VLOOKUP(D8,Compounds!$A$3:$B$152,2,FALSE())</f>
        <v>Chronostable Isotope</v>
      </c>
      <c r="F8" s="7" t="s">
        <v>710</v>
      </c>
      <c r="G8" s="5" t="n">
        <v>464000</v>
      </c>
      <c r="H8" s="13" t="n">
        <f aca="false">G8*3</f>
        <v>1392000</v>
      </c>
      <c r="I8" s="13" t="n">
        <f aca="false">G8*0.25</f>
        <v>116000</v>
      </c>
    </row>
    <row r="9" customFormat="false" ht="15" hidden="false" customHeight="true" outlineLevel="0" collapsed="false">
      <c r="A9" s="3" t="s">
        <v>711</v>
      </c>
      <c r="B9" s="7" t="s">
        <v>407</v>
      </c>
      <c r="C9" s="10" t="str">
        <f aca="false">VLOOKUP(B9,Compounds!$A$3:$B$152,2,FALSE())</f>
        <v>Stabilized Muonium</v>
      </c>
      <c r="D9" s="7" t="s">
        <v>422</v>
      </c>
      <c r="E9" s="10" t="str">
        <f aca="false">VLOOKUP(D9,Compounds!$A$3:$B$152,2,FALSE())</f>
        <v>Dark Lattice Composite</v>
      </c>
      <c r="F9" s="7" t="s">
        <v>712</v>
      </c>
      <c r="G9" s="5" t="n">
        <v>631000</v>
      </c>
      <c r="H9" s="13" t="n">
        <f aca="false">G9*3</f>
        <v>1893000</v>
      </c>
      <c r="I9" s="13" t="n">
        <f aca="false">G9*0.25</f>
        <v>157750</v>
      </c>
      <c r="K9" s="2" t="s">
        <v>713</v>
      </c>
    </row>
    <row r="10" customFormat="false" ht="15" hidden="false" customHeight="true" outlineLevel="0" collapsed="false">
      <c r="A10" s="3" t="s">
        <v>714</v>
      </c>
      <c r="B10" s="7" t="s">
        <v>407</v>
      </c>
      <c r="C10" s="10" t="str">
        <f aca="false">VLOOKUP(B10,Compounds!$A$3:$B$152,2,FALSE())</f>
        <v>Stabilized Muonium</v>
      </c>
      <c r="D10" s="7" t="s">
        <v>424</v>
      </c>
      <c r="E10" s="10" t="str">
        <f aca="false">VLOOKUP(D10,Compounds!$A$3:$B$152,2,FALSE())</f>
        <v>Zero-Point Substrate</v>
      </c>
      <c r="F10" s="7" t="s">
        <v>715</v>
      </c>
      <c r="G10" s="5" t="n">
        <v>710000</v>
      </c>
      <c r="H10" s="13" t="n">
        <f aca="false">G10*3</f>
        <v>2130000</v>
      </c>
      <c r="I10" s="13" t="n">
        <f aca="false">G10*0.25</f>
        <v>177500</v>
      </c>
      <c r="K10" s="3" t="s">
        <v>716</v>
      </c>
    </row>
    <row r="11" customFormat="false" ht="15" hidden="false" customHeight="true" outlineLevel="0" collapsed="false">
      <c r="A11" s="3" t="s">
        <v>717</v>
      </c>
      <c r="B11" s="7" t="s">
        <v>407</v>
      </c>
      <c r="C11" s="10" t="str">
        <f aca="false">VLOOKUP(B11,Compounds!$A$3:$B$152,2,FALSE())</f>
        <v>Stabilized Muonium</v>
      </c>
      <c r="D11" s="7" t="s">
        <v>426</v>
      </c>
      <c r="E11" s="10" t="str">
        <f aca="false">VLOOKUP(D11,Compounds!$A$3:$B$152,2,FALSE())</f>
        <v>Entangled Matrix</v>
      </c>
      <c r="F11" s="7" t="s">
        <v>718</v>
      </c>
      <c r="G11" s="5" t="n">
        <v>571000</v>
      </c>
      <c r="H11" s="13" t="n">
        <f aca="false">G11*3</f>
        <v>1713000</v>
      </c>
      <c r="I11" s="13" t="n">
        <f aca="false">G11*0.25</f>
        <v>142750</v>
      </c>
      <c r="K11" s="3" t="s">
        <v>719</v>
      </c>
      <c r="L11" s="6" t="n">
        <v>60</v>
      </c>
    </row>
    <row r="12" customFormat="false" ht="15" hidden="false" customHeight="true" outlineLevel="0" collapsed="false">
      <c r="A12" s="3" t="s">
        <v>720</v>
      </c>
      <c r="B12" s="7" t="s">
        <v>407</v>
      </c>
      <c r="C12" s="10" t="str">
        <f aca="false">VLOOKUP(B12,Compounds!$A$3:$B$152,2,FALSE())</f>
        <v>Stabilized Muonium</v>
      </c>
      <c r="D12" s="7" t="s">
        <v>428</v>
      </c>
      <c r="E12" s="10" t="str">
        <f aca="false">VLOOKUP(D12,Compounds!$A$3:$B$152,2,FALSE())</f>
        <v>Femtosecond Glass</v>
      </c>
      <c r="F12" s="7" t="s">
        <v>721</v>
      </c>
      <c r="G12" s="5" t="n">
        <v>526000</v>
      </c>
      <c r="H12" s="13" t="n">
        <f aca="false">G12*3</f>
        <v>1578000</v>
      </c>
      <c r="I12" s="13" t="n">
        <f aca="false">G12*0.25</f>
        <v>131500</v>
      </c>
    </row>
    <row r="13" customFormat="false" ht="15" hidden="false" customHeight="true" outlineLevel="0" collapsed="false">
      <c r="A13" s="3" t="s">
        <v>722</v>
      </c>
      <c r="B13" s="7" t="s">
        <v>407</v>
      </c>
      <c r="C13" s="10" t="str">
        <f aca="false">VLOOKUP(B13,Compounds!$A$3:$B$152,2,FALSE())</f>
        <v>Stabilized Muonium</v>
      </c>
      <c r="D13" s="7" t="s">
        <v>430</v>
      </c>
      <c r="E13" s="10" t="str">
        <f aca="false">VLOOKUP(D13,Compounds!$A$3:$B$152,2,FALSE())</f>
        <v>Degenerate Matter Pellet</v>
      </c>
      <c r="F13" s="7" t="s">
        <v>723</v>
      </c>
      <c r="G13" s="5" t="n">
        <v>441000</v>
      </c>
      <c r="H13" s="13" t="n">
        <f aca="false">G13*3</f>
        <v>1323000</v>
      </c>
      <c r="I13" s="13" t="n">
        <f aca="false">G13*0.25</f>
        <v>110250</v>
      </c>
    </row>
    <row r="14" customFormat="false" ht="15" hidden="false" customHeight="true" outlineLevel="0" collapsed="false">
      <c r="A14" s="3" t="s">
        <v>724</v>
      </c>
      <c r="B14" s="7" t="s">
        <v>407</v>
      </c>
      <c r="C14" s="10" t="str">
        <f aca="false">VLOOKUP(B14,Compounds!$A$3:$B$152,2,FALSE())</f>
        <v>Stabilized Muonium</v>
      </c>
      <c r="D14" s="7" t="s">
        <v>432</v>
      </c>
      <c r="E14" s="10" t="str">
        <f aca="false">VLOOKUP(D14,Compounds!$A$3:$B$152,2,FALSE())</f>
        <v>Hyperdense Ceramic</v>
      </c>
      <c r="F14" s="7" t="s">
        <v>725</v>
      </c>
      <c r="G14" s="5" t="n">
        <v>292000</v>
      </c>
      <c r="H14" s="13" t="n">
        <f aca="false">G14*3</f>
        <v>876000</v>
      </c>
      <c r="I14" s="13" t="n">
        <f aca="false">G14*0.25</f>
        <v>73000</v>
      </c>
    </row>
    <row r="15" customFormat="false" ht="15" hidden="false" customHeight="true" outlineLevel="0" collapsed="false">
      <c r="A15" s="3" t="s">
        <v>726</v>
      </c>
      <c r="B15" s="7" t="s">
        <v>407</v>
      </c>
      <c r="C15" s="10" t="str">
        <f aca="false">VLOOKUP(B15,Compounds!$A$3:$B$152,2,FALSE())</f>
        <v>Stabilized Muonium</v>
      </c>
      <c r="D15" s="7" t="s">
        <v>434</v>
      </c>
      <c r="E15" s="10" t="str">
        <f aca="false">VLOOKUP(D15,Compounds!$A$3:$B$152,2,FALSE())</f>
        <v>Singularity Alloy</v>
      </c>
      <c r="F15" s="7" t="s">
        <v>727</v>
      </c>
      <c r="G15" s="5" t="n">
        <v>302000</v>
      </c>
      <c r="H15" s="13" t="n">
        <f aca="false">G15*3</f>
        <v>906000</v>
      </c>
      <c r="I15" s="13" t="n">
        <f aca="false">G15*0.25</f>
        <v>75500</v>
      </c>
    </row>
    <row r="16" customFormat="false" ht="15" hidden="false" customHeight="true" outlineLevel="0" collapsed="false">
      <c r="A16" s="3" t="s">
        <v>728</v>
      </c>
      <c r="B16" s="7" t="s">
        <v>407</v>
      </c>
      <c r="C16" s="10" t="str">
        <f aca="false">VLOOKUP(B16,Compounds!$A$3:$B$152,2,FALSE())</f>
        <v>Stabilized Muonium</v>
      </c>
      <c r="D16" s="7" t="s">
        <v>436</v>
      </c>
      <c r="E16" s="10" t="str">
        <f aca="false">VLOOKUP(D16,Compounds!$A$3:$B$152,2,FALSE())</f>
        <v>Antiferric Compound</v>
      </c>
      <c r="F16" s="7" t="s">
        <v>729</v>
      </c>
      <c r="G16" s="5" t="n">
        <v>492000</v>
      </c>
      <c r="H16" s="13" t="n">
        <f aca="false">G16*3</f>
        <v>1476000</v>
      </c>
      <c r="I16" s="13" t="n">
        <f aca="false">G16*0.25</f>
        <v>123000</v>
      </c>
    </row>
    <row r="17" customFormat="false" ht="15" hidden="false" customHeight="true" outlineLevel="0" collapsed="false">
      <c r="A17" s="3" t="s">
        <v>730</v>
      </c>
      <c r="B17" s="7" t="s">
        <v>407</v>
      </c>
      <c r="C17" s="10" t="str">
        <f aca="false">VLOOKUP(B17,Compounds!$A$3:$B$152,2,FALSE())</f>
        <v>Stabilized Muonium</v>
      </c>
      <c r="D17" s="7" t="s">
        <v>438</v>
      </c>
      <c r="E17" s="10" t="str">
        <f aca="false">VLOOKUP(D17,Compounds!$A$3:$B$152,2,FALSE())</f>
        <v>Quantum Foam Stabilizate</v>
      </c>
      <c r="F17" s="7" t="s">
        <v>731</v>
      </c>
      <c r="G17" s="5" t="n">
        <v>299000</v>
      </c>
      <c r="H17" s="13" t="n">
        <f aca="false">G17*3</f>
        <v>897000</v>
      </c>
      <c r="I17" s="13" t="n">
        <f aca="false">G17*0.25</f>
        <v>74750</v>
      </c>
    </row>
    <row r="18" customFormat="false" ht="15" hidden="false" customHeight="true" outlineLevel="0" collapsed="false">
      <c r="A18" s="3" t="s">
        <v>732</v>
      </c>
      <c r="B18" s="7" t="s">
        <v>407</v>
      </c>
      <c r="C18" s="10" t="str">
        <f aca="false">VLOOKUP(B18,Compounds!$A$3:$B$152,2,FALSE())</f>
        <v>Stabilized Muonium</v>
      </c>
      <c r="D18" s="7" t="s">
        <v>440</v>
      </c>
      <c r="E18" s="10" t="str">
        <f aca="false">VLOOKUP(D18,Compounds!$A$3:$B$152,2,FALSE())</f>
        <v>Picoscale Architect</v>
      </c>
      <c r="F18" s="7" t="s">
        <v>733</v>
      </c>
      <c r="G18" s="5" t="n">
        <v>545000</v>
      </c>
      <c r="H18" s="13" t="n">
        <f aca="false">G18*3</f>
        <v>1635000</v>
      </c>
      <c r="I18" s="13" t="n">
        <f aca="false">G18*0.25</f>
        <v>136250</v>
      </c>
    </row>
    <row r="19" customFormat="false" ht="15" hidden="false" customHeight="true" outlineLevel="0" collapsed="false">
      <c r="A19" s="3" t="s">
        <v>734</v>
      </c>
      <c r="B19" s="7" t="s">
        <v>410</v>
      </c>
      <c r="C19" s="10" t="str">
        <f aca="false">VLOOKUP(B19,Compounds!$A$3:$B$152,2,FALSE())</f>
        <v>Coherent Plasma Lattice</v>
      </c>
      <c r="D19" s="7" t="s">
        <v>410</v>
      </c>
      <c r="E19" s="10" t="str">
        <f aca="false">VLOOKUP(D19,Compounds!$A$3:$B$152,2,FALSE())</f>
        <v>Coherent Plasma Lattice</v>
      </c>
      <c r="F19" s="7" t="s">
        <v>735</v>
      </c>
      <c r="G19" s="5" t="n">
        <v>353000</v>
      </c>
      <c r="H19" s="13" t="n">
        <f aca="false">G19*3</f>
        <v>1059000</v>
      </c>
      <c r="I19" s="13" t="n">
        <f aca="false">G19*0.25</f>
        <v>88250</v>
      </c>
    </row>
    <row r="20" customFormat="false" ht="15" hidden="false" customHeight="true" outlineLevel="0" collapsed="false">
      <c r="A20" s="3" t="s">
        <v>736</v>
      </c>
      <c r="B20" s="7" t="s">
        <v>410</v>
      </c>
      <c r="C20" s="10" t="str">
        <f aca="false">VLOOKUP(B20,Compounds!$A$3:$B$152,2,FALSE())</f>
        <v>Coherent Plasma Lattice</v>
      </c>
      <c r="D20" s="7" t="s">
        <v>413</v>
      </c>
      <c r="E20" s="10" t="str">
        <f aca="false">VLOOKUP(D20,Compounds!$A$3:$B$152,2,FALSE())</f>
        <v>Isochronal Lattice</v>
      </c>
      <c r="F20" s="7" t="s">
        <v>737</v>
      </c>
      <c r="G20" s="5" t="n">
        <v>555000</v>
      </c>
      <c r="H20" s="13" t="n">
        <f aca="false">G20*3</f>
        <v>1665000</v>
      </c>
      <c r="I20" s="13" t="n">
        <f aca="false">G20*0.25</f>
        <v>138750</v>
      </c>
    </row>
    <row r="21" customFormat="false" ht="15" hidden="false" customHeight="true" outlineLevel="0" collapsed="false">
      <c r="A21" s="3" t="s">
        <v>738</v>
      </c>
      <c r="B21" s="7" t="s">
        <v>410</v>
      </c>
      <c r="C21" s="10" t="str">
        <f aca="false">VLOOKUP(B21,Compounds!$A$3:$B$152,2,FALSE())</f>
        <v>Coherent Plasma Lattice</v>
      </c>
      <c r="D21" s="7" t="s">
        <v>416</v>
      </c>
      <c r="E21" s="10" t="str">
        <f aca="false">VLOOKUP(D21,Compounds!$A$3:$B$152,2,FALSE())</f>
        <v>Vacuum-Phase Crystal</v>
      </c>
      <c r="F21" s="7" t="s">
        <v>739</v>
      </c>
      <c r="G21" s="5" t="n">
        <v>787000</v>
      </c>
      <c r="H21" s="13" t="n">
        <f aca="false">G21*3</f>
        <v>2361000</v>
      </c>
      <c r="I21" s="13" t="n">
        <f aca="false">G21*0.25</f>
        <v>196750</v>
      </c>
    </row>
    <row r="22" customFormat="false" ht="15" hidden="false" customHeight="true" outlineLevel="0" collapsed="false">
      <c r="A22" s="3" t="s">
        <v>740</v>
      </c>
      <c r="B22" s="7" t="s">
        <v>410</v>
      </c>
      <c r="C22" s="10" t="str">
        <f aca="false">VLOOKUP(B22,Compounds!$A$3:$B$152,2,FALSE())</f>
        <v>Coherent Plasma Lattice</v>
      </c>
      <c r="D22" s="7" t="s">
        <v>419</v>
      </c>
      <c r="E22" s="10" t="str">
        <f aca="false">VLOOKUP(D22,Compounds!$A$3:$B$152,2,FALSE())</f>
        <v>Chronostable Isotope</v>
      </c>
      <c r="F22" s="7" t="s">
        <v>741</v>
      </c>
      <c r="G22" s="5" t="n">
        <v>704000</v>
      </c>
      <c r="H22" s="13" t="n">
        <f aca="false">G22*3</f>
        <v>2112000</v>
      </c>
      <c r="I22" s="13" t="n">
        <f aca="false">G22*0.25</f>
        <v>176000</v>
      </c>
    </row>
    <row r="23" customFormat="false" ht="15" hidden="false" customHeight="true" outlineLevel="0" collapsed="false">
      <c r="A23" s="3" t="s">
        <v>742</v>
      </c>
      <c r="B23" s="7" t="s">
        <v>410</v>
      </c>
      <c r="C23" s="10" t="str">
        <f aca="false">VLOOKUP(B23,Compounds!$A$3:$B$152,2,FALSE())</f>
        <v>Coherent Plasma Lattice</v>
      </c>
      <c r="D23" s="7" t="s">
        <v>422</v>
      </c>
      <c r="E23" s="10" t="str">
        <f aca="false">VLOOKUP(D23,Compounds!$A$3:$B$152,2,FALSE())</f>
        <v>Dark Lattice Composite</v>
      </c>
      <c r="F23" s="7" t="s">
        <v>743</v>
      </c>
      <c r="G23" s="5" t="n">
        <v>462000</v>
      </c>
      <c r="H23" s="13" t="n">
        <f aca="false">G23*3</f>
        <v>1386000</v>
      </c>
      <c r="I23" s="13" t="n">
        <f aca="false">G23*0.25</f>
        <v>115500</v>
      </c>
    </row>
    <row r="24" customFormat="false" ht="15" hidden="false" customHeight="true" outlineLevel="0" collapsed="false">
      <c r="A24" s="3" t="s">
        <v>744</v>
      </c>
      <c r="B24" s="7" t="s">
        <v>410</v>
      </c>
      <c r="C24" s="10" t="str">
        <f aca="false">VLOOKUP(B24,Compounds!$A$3:$B$152,2,FALSE())</f>
        <v>Coherent Plasma Lattice</v>
      </c>
      <c r="D24" s="7" t="s">
        <v>424</v>
      </c>
      <c r="E24" s="10" t="str">
        <f aca="false">VLOOKUP(D24,Compounds!$A$3:$B$152,2,FALSE())</f>
        <v>Zero-Point Substrate</v>
      </c>
      <c r="F24" s="7" t="s">
        <v>745</v>
      </c>
      <c r="G24" s="5" t="n">
        <v>482000</v>
      </c>
      <c r="H24" s="13" t="n">
        <f aca="false">G24*3</f>
        <v>1446000</v>
      </c>
      <c r="I24" s="13" t="n">
        <f aca="false">G24*0.25</f>
        <v>120500</v>
      </c>
    </row>
    <row r="25" customFormat="false" ht="15" hidden="false" customHeight="true" outlineLevel="0" collapsed="false">
      <c r="A25" s="3" t="s">
        <v>746</v>
      </c>
      <c r="B25" s="7" t="s">
        <v>410</v>
      </c>
      <c r="C25" s="10" t="str">
        <f aca="false">VLOOKUP(B25,Compounds!$A$3:$B$152,2,FALSE())</f>
        <v>Coherent Plasma Lattice</v>
      </c>
      <c r="D25" s="7" t="s">
        <v>426</v>
      </c>
      <c r="E25" s="10" t="str">
        <f aca="false">VLOOKUP(D25,Compounds!$A$3:$B$152,2,FALSE())</f>
        <v>Entangled Matrix</v>
      </c>
      <c r="F25" s="7" t="s">
        <v>747</v>
      </c>
      <c r="G25" s="5" t="n">
        <v>623000</v>
      </c>
      <c r="H25" s="13" t="n">
        <f aca="false">G25*3</f>
        <v>1869000</v>
      </c>
      <c r="I25" s="13" t="n">
        <f aca="false">G25*0.25</f>
        <v>155750</v>
      </c>
    </row>
    <row r="26" customFormat="false" ht="15" hidden="false" customHeight="true" outlineLevel="0" collapsed="false">
      <c r="A26" s="3" t="s">
        <v>748</v>
      </c>
      <c r="B26" s="7" t="s">
        <v>410</v>
      </c>
      <c r="C26" s="10" t="str">
        <f aca="false">VLOOKUP(B26,Compounds!$A$3:$B$152,2,FALSE())</f>
        <v>Coherent Plasma Lattice</v>
      </c>
      <c r="D26" s="7" t="s">
        <v>428</v>
      </c>
      <c r="E26" s="10" t="str">
        <f aca="false">VLOOKUP(D26,Compounds!$A$3:$B$152,2,FALSE())</f>
        <v>Femtosecond Glass</v>
      </c>
      <c r="F26" s="7" t="s">
        <v>749</v>
      </c>
      <c r="G26" s="5" t="n">
        <v>622000</v>
      </c>
      <c r="H26" s="13" t="n">
        <f aca="false">G26*3</f>
        <v>1866000</v>
      </c>
      <c r="I26" s="13" t="n">
        <f aca="false">G26*0.25</f>
        <v>155500</v>
      </c>
    </row>
    <row r="27" customFormat="false" ht="15" hidden="false" customHeight="true" outlineLevel="0" collapsed="false">
      <c r="A27" s="3" t="s">
        <v>750</v>
      </c>
      <c r="B27" s="7" t="s">
        <v>410</v>
      </c>
      <c r="C27" s="10" t="str">
        <f aca="false">VLOOKUP(B27,Compounds!$A$3:$B$152,2,FALSE())</f>
        <v>Coherent Plasma Lattice</v>
      </c>
      <c r="D27" s="7" t="s">
        <v>430</v>
      </c>
      <c r="E27" s="10" t="str">
        <f aca="false">VLOOKUP(D27,Compounds!$A$3:$B$152,2,FALSE())</f>
        <v>Degenerate Matter Pellet</v>
      </c>
      <c r="F27" s="7" t="s">
        <v>751</v>
      </c>
      <c r="G27" s="5" t="n">
        <v>586000</v>
      </c>
      <c r="H27" s="13" t="n">
        <f aca="false">G27*3</f>
        <v>1758000</v>
      </c>
      <c r="I27" s="13" t="n">
        <f aca="false">G27*0.25</f>
        <v>146500</v>
      </c>
    </row>
    <row r="28" customFormat="false" ht="15" hidden="false" customHeight="true" outlineLevel="0" collapsed="false">
      <c r="A28" s="3" t="s">
        <v>752</v>
      </c>
      <c r="B28" s="7" t="s">
        <v>410</v>
      </c>
      <c r="C28" s="10" t="str">
        <f aca="false">VLOOKUP(B28,Compounds!$A$3:$B$152,2,FALSE())</f>
        <v>Coherent Plasma Lattice</v>
      </c>
      <c r="D28" s="7" t="s">
        <v>432</v>
      </c>
      <c r="E28" s="10" t="str">
        <f aca="false">VLOOKUP(D28,Compounds!$A$3:$B$152,2,FALSE())</f>
        <v>Hyperdense Ceramic</v>
      </c>
      <c r="F28" s="7" t="s">
        <v>753</v>
      </c>
      <c r="G28" s="5" t="n">
        <v>745000</v>
      </c>
      <c r="H28" s="13" t="n">
        <f aca="false">G28*3</f>
        <v>2235000</v>
      </c>
      <c r="I28" s="13" t="n">
        <f aca="false">G28*0.25</f>
        <v>186250</v>
      </c>
    </row>
    <row r="29" customFormat="false" ht="15" hidden="false" customHeight="true" outlineLevel="0" collapsed="false">
      <c r="A29" s="3" t="s">
        <v>754</v>
      </c>
      <c r="B29" s="7" t="s">
        <v>410</v>
      </c>
      <c r="C29" s="10" t="str">
        <f aca="false">VLOOKUP(B29,Compounds!$A$3:$B$152,2,FALSE())</f>
        <v>Coherent Plasma Lattice</v>
      </c>
      <c r="D29" s="7" t="s">
        <v>434</v>
      </c>
      <c r="E29" s="10" t="str">
        <f aca="false">VLOOKUP(D29,Compounds!$A$3:$B$152,2,FALSE())</f>
        <v>Singularity Alloy</v>
      </c>
      <c r="F29" s="7" t="s">
        <v>755</v>
      </c>
      <c r="G29" s="5" t="n">
        <v>623000</v>
      </c>
      <c r="H29" s="13" t="n">
        <f aca="false">G29*3</f>
        <v>1869000</v>
      </c>
      <c r="I29" s="13" t="n">
        <f aca="false">G29*0.25</f>
        <v>155750</v>
      </c>
    </row>
    <row r="30" customFormat="false" ht="15" hidden="false" customHeight="true" outlineLevel="0" collapsed="false">
      <c r="A30" s="3" t="s">
        <v>756</v>
      </c>
      <c r="B30" s="7" t="s">
        <v>410</v>
      </c>
      <c r="C30" s="10" t="str">
        <f aca="false">VLOOKUP(B30,Compounds!$A$3:$B$152,2,FALSE())</f>
        <v>Coherent Plasma Lattice</v>
      </c>
      <c r="D30" s="7" t="s">
        <v>436</v>
      </c>
      <c r="E30" s="10" t="str">
        <f aca="false">VLOOKUP(D30,Compounds!$A$3:$B$152,2,FALSE())</f>
        <v>Antiferric Compound</v>
      </c>
      <c r="F30" s="7" t="s">
        <v>757</v>
      </c>
      <c r="G30" s="5" t="n">
        <v>257000</v>
      </c>
      <c r="H30" s="13" t="n">
        <f aca="false">G30*3</f>
        <v>771000</v>
      </c>
      <c r="I30" s="13" t="n">
        <f aca="false">G30*0.25</f>
        <v>64250</v>
      </c>
    </row>
    <row r="31" customFormat="false" ht="15" hidden="false" customHeight="true" outlineLevel="0" collapsed="false">
      <c r="A31" s="3" t="s">
        <v>758</v>
      </c>
      <c r="B31" s="7" t="s">
        <v>410</v>
      </c>
      <c r="C31" s="10" t="str">
        <f aca="false">VLOOKUP(B31,Compounds!$A$3:$B$152,2,FALSE())</f>
        <v>Coherent Plasma Lattice</v>
      </c>
      <c r="D31" s="7" t="s">
        <v>438</v>
      </c>
      <c r="E31" s="10" t="str">
        <f aca="false">VLOOKUP(D31,Compounds!$A$3:$B$152,2,FALSE())</f>
        <v>Quantum Foam Stabilizate</v>
      </c>
      <c r="F31" s="7" t="s">
        <v>759</v>
      </c>
      <c r="G31" s="5" t="n">
        <v>534000</v>
      </c>
      <c r="H31" s="13" t="n">
        <f aca="false">G31*3</f>
        <v>1602000</v>
      </c>
      <c r="I31" s="13" t="n">
        <f aca="false">G31*0.25</f>
        <v>133500</v>
      </c>
    </row>
    <row r="32" customFormat="false" ht="15" hidden="false" customHeight="true" outlineLevel="0" collapsed="false">
      <c r="A32" s="3" t="s">
        <v>760</v>
      </c>
      <c r="B32" s="7" t="s">
        <v>410</v>
      </c>
      <c r="C32" s="10" t="str">
        <f aca="false">VLOOKUP(B32,Compounds!$A$3:$B$152,2,FALSE())</f>
        <v>Coherent Plasma Lattice</v>
      </c>
      <c r="D32" s="7" t="s">
        <v>440</v>
      </c>
      <c r="E32" s="10" t="str">
        <f aca="false">VLOOKUP(D32,Compounds!$A$3:$B$152,2,FALSE())</f>
        <v>Picoscale Architect</v>
      </c>
      <c r="F32" s="7" t="s">
        <v>761</v>
      </c>
      <c r="G32" s="5" t="n">
        <v>429000</v>
      </c>
      <c r="H32" s="13" t="n">
        <f aca="false">G32*3</f>
        <v>1287000</v>
      </c>
      <c r="I32" s="13" t="n">
        <f aca="false">G32*0.25</f>
        <v>107250</v>
      </c>
    </row>
    <row r="33" customFormat="false" ht="15" hidden="false" customHeight="true" outlineLevel="0" collapsed="false">
      <c r="A33" s="3" t="s">
        <v>762</v>
      </c>
      <c r="B33" s="7" t="s">
        <v>413</v>
      </c>
      <c r="C33" s="10" t="str">
        <f aca="false">VLOOKUP(B33,Compounds!$A$3:$B$152,2,FALSE())</f>
        <v>Isochronal Lattice</v>
      </c>
      <c r="D33" s="7" t="s">
        <v>413</v>
      </c>
      <c r="E33" s="10" t="str">
        <f aca="false">VLOOKUP(D33,Compounds!$A$3:$B$152,2,FALSE())</f>
        <v>Isochronal Lattice</v>
      </c>
      <c r="F33" s="7" t="s">
        <v>763</v>
      </c>
      <c r="G33" s="5" t="n">
        <v>485000</v>
      </c>
      <c r="H33" s="13" t="n">
        <f aca="false">G33*3</f>
        <v>1455000</v>
      </c>
      <c r="I33" s="13" t="n">
        <f aca="false">G33*0.25</f>
        <v>121250</v>
      </c>
    </row>
    <row r="34" customFormat="false" ht="15" hidden="false" customHeight="true" outlineLevel="0" collapsed="false">
      <c r="A34" s="3" t="s">
        <v>764</v>
      </c>
      <c r="B34" s="7" t="s">
        <v>413</v>
      </c>
      <c r="C34" s="10" t="str">
        <f aca="false">VLOOKUP(B34,Compounds!$A$3:$B$152,2,FALSE())</f>
        <v>Isochronal Lattice</v>
      </c>
      <c r="D34" s="7" t="s">
        <v>416</v>
      </c>
      <c r="E34" s="10" t="str">
        <f aca="false">VLOOKUP(D34,Compounds!$A$3:$B$152,2,FALSE())</f>
        <v>Vacuum-Phase Crystal</v>
      </c>
      <c r="F34" s="7" t="s">
        <v>765</v>
      </c>
      <c r="G34" s="5" t="n">
        <v>563000</v>
      </c>
      <c r="H34" s="13" t="n">
        <f aca="false">G34*3</f>
        <v>1689000</v>
      </c>
      <c r="I34" s="13" t="n">
        <f aca="false">G34*0.25</f>
        <v>140750</v>
      </c>
    </row>
    <row r="35" customFormat="false" ht="15" hidden="false" customHeight="true" outlineLevel="0" collapsed="false">
      <c r="A35" s="3" t="s">
        <v>766</v>
      </c>
      <c r="B35" s="7" t="s">
        <v>413</v>
      </c>
      <c r="C35" s="10" t="str">
        <f aca="false">VLOOKUP(B35,Compounds!$A$3:$B$152,2,FALSE())</f>
        <v>Isochronal Lattice</v>
      </c>
      <c r="D35" s="7" t="s">
        <v>419</v>
      </c>
      <c r="E35" s="10" t="str">
        <f aca="false">VLOOKUP(D35,Compounds!$A$3:$B$152,2,FALSE())</f>
        <v>Chronostable Isotope</v>
      </c>
      <c r="F35" s="7" t="s">
        <v>767</v>
      </c>
      <c r="G35" s="5" t="n">
        <v>437000</v>
      </c>
      <c r="H35" s="13" t="n">
        <f aca="false">G35*3</f>
        <v>1311000</v>
      </c>
      <c r="I35" s="13" t="n">
        <f aca="false">G35*0.25</f>
        <v>109250</v>
      </c>
    </row>
    <row r="36" customFormat="false" ht="15" hidden="false" customHeight="true" outlineLevel="0" collapsed="false">
      <c r="A36" s="3" t="s">
        <v>768</v>
      </c>
      <c r="B36" s="7" t="s">
        <v>413</v>
      </c>
      <c r="C36" s="10" t="str">
        <f aca="false">VLOOKUP(B36,Compounds!$A$3:$B$152,2,FALSE())</f>
        <v>Isochronal Lattice</v>
      </c>
      <c r="D36" s="7" t="s">
        <v>422</v>
      </c>
      <c r="E36" s="10" t="str">
        <f aca="false">VLOOKUP(D36,Compounds!$A$3:$B$152,2,FALSE())</f>
        <v>Dark Lattice Composite</v>
      </c>
      <c r="F36" s="7" t="s">
        <v>769</v>
      </c>
      <c r="G36" s="5" t="n">
        <v>588000</v>
      </c>
      <c r="H36" s="13" t="n">
        <f aca="false">G36*3</f>
        <v>1764000</v>
      </c>
      <c r="I36" s="13" t="n">
        <f aca="false">G36*0.25</f>
        <v>147000</v>
      </c>
    </row>
    <row r="37" customFormat="false" ht="15" hidden="false" customHeight="true" outlineLevel="0" collapsed="false">
      <c r="A37" s="3" t="s">
        <v>770</v>
      </c>
      <c r="B37" s="7" t="s">
        <v>413</v>
      </c>
      <c r="C37" s="10" t="str">
        <f aca="false">VLOOKUP(B37,Compounds!$A$3:$B$152,2,FALSE())</f>
        <v>Isochronal Lattice</v>
      </c>
      <c r="D37" s="7" t="s">
        <v>424</v>
      </c>
      <c r="E37" s="10" t="str">
        <f aca="false">VLOOKUP(D37,Compounds!$A$3:$B$152,2,FALSE())</f>
        <v>Zero-Point Substrate</v>
      </c>
      <c r="F37" s="7" t="s">
        <v>771</v>
      </c>
      <c r="G37" s="5" t="n">
        <v>413000</v>
      </c>
      <c r="H37" s="13" t="n">
        <f aca="false">G37*3</f>
        <v>1239000</v>
      </c>
      <c r="I37" s="13" t="n">
        <f aca="false">G37*0.25</f>
        <v>103250</v>
      </c>
    </row>
    <row r="38" customFormat="false" ht="15" hidden="false" customHeight="true" outlineLevel="0" collapsed="false">
      <c r="A38" s="3" t="s">
        <v>772</v>
      </c>
      <c r="B38" s="7" t="s">
        <v>413</v>
      </c>
      <c r="C38" s="10" t="str">
        <f aca="false">VLOOKUP(B38,Compounds!$A$3:$B$152,2,FALSE())</f>
        <v>Isochronal Lattice</v>
      </c>
      <c r="D38" s="7" t="s">
        <v>426</v>
      </c>
      <c r="E38" s="10" t="str">
        <f aca="false">VLOOKUP(D38,Compounds!$A$3:$B$152,2,FALSE())</f>
        <v>Entangled Matrix</v>
      </c>
      <c r="F38" s="7" t="s">
        <v>773</v>
      </c>
      <c r="G38" s="5" t="n">
        <v>547000</v>
      </c>
      <c r="H38" s="13" t="n">
        <f aca="false">G38*3</f>
        <v>1641000</v>
      </c>
      <c r="I38" s="13" t="n">
        <f aca="false">G38*0.25</f>
        <v>136750</v>
      </c>
    </row>
    <row r="39" customFormat="false" ht="15" hidden="false" customHeight="true" outlineLevel="0" collapsed="false">
      <c r="A39" s="3" t="s">
        <v>774</v>
      </c>
      <c r="B39" s="7" t="s">
        <v>413</v>
      </c>
      <c r="C39" s="10" t="str">
        <f aca="false">VLOOKUP(B39,Compounds!$A$3:$B$152,2,FALSE())</f>
        <v>Isochronal Lattice</v>
      </c>
      <c r="D39" s="7" t="s">
        <v>428</v>
      </c>
      <c r="E39" s="10" t="str">
        <f aca="false">VLOOKUP(D39,Compounds!$A$3:$B$152,2,FALSE())</f>
        <v>Femtosecond Glass</v>
      </c>
      <c r="F39" s="7" t="s">
        <v>775</v>
      </c>
      <c r="G39" s="5" t="n">
        <v>256000</v>
      </c>
      <c r="H39" s="13" t="n">
        <f aca="false">G39*3</f>
        <v>768000</v>
      </c>
      <c r="I39" s="13" t="n">
        <f aca="false">G39*0.25</f>
        <v>64000</v>
      </c>
    </row>
    <row r="40" customFormat="false" ht="15" hidden="false" customHeight="true" outlineLevel="0" collapsed="false">
      <c r="A40" s="3" t="s">
        <v>776</v>
      </c>
      <c r="B40" s="7" t="s">
        <v>413</v>
      </c>
      <c r="C40" s="10" t="str">
        <f aca="false">VLOOKUP(B40,Compounds!$A$3:$B$152,2,FALSE())</f>
        <v>Isochronal Lattice</v>
      </c>
      <c r="D40" s="7" t="s">
        <v>430</v>
      </c>
      <c r="E40" s="10" t="str">
        <f aca="false">VLOOKUP(D40,Compounds!$A$3:$B$152,2,FALSE())</f>
        <v>Degenerate Matter Pellet</v>
      </c>
      <c r="F40" s="7" t="s">
        <v>777</v>
      </c>
      <c r="G40" s="5" t="n">
        <v>485000</v>
      </c>
      <c r="H40" s="13" t="n">
        <f aca="false">G40*3</f>
        <v>1455000</v>
      </c>
      <c r="I40" s="13" t="n">
        <f aca="false">G40*0.25</f>
        <v>121250</v>
      </c>
    </row>
    <row r="41" customFormat="false" ht="15" hidden="false" customHeight="true" outlineLevel="0" collapsed="false">
      <c r="A41" s="3" t="s">
        <v>778</v>
      </c>
      <c r="B41" s="7" t="s">
        <v>413</v>
      </c>
      <c r="C41" s="10" t="str">
        <f aca="false">VLOOKUP(B41,Compounds!$A$3:$B$152,2,FALSE())</f>
        <v>Isochronal Lattice</v>
      </c>
      <c r="D41" s="7" t="s">
        <v>432</v>
      </c>
      <c r="E41" s="10" t="str">
        <f aca="false">VLOOKUP(D41,Compounds!$A$3:$B$152,2,FALSE())</f>
        <v>Hyperdense Ceramic</v>
      </c>
      <c r="F41" s="7" t="s">
        <v>779</v>
      </c>
      <c r="G41" s="5" t="n">
        <v>622000</v>
      </c>
      <c r="H41" s="13" t="n">
        <f aca="false">G41*3</f>
        <v>1866000</v>
      </c>
      <c r="I41" s="13" t="n">
        <f aca="false">G41*0.25</f>
        <v>155500</v>
      </c>
    </row>
    <row r="42" customFormat="false" ht="15" hidden="false" customHeight="true" outlineLevel="0" collapsed="false">
      <c r="A42" s="3" t="s">
        <v>780</v>
      </c>
      <c r="B42" s="7" t="s">
        <v>413</v>
      </c>
      <c r="C42" s="10" t="str">
        <f aca="false">VLOOKUP(B42,Compounds!$A$3:$B$152,2,FALSE())</f>
        <v>Isochronal Lattice</v>
      </c>
      <c r="D42" s="7" t="s">
        <v>434</v>
      </c>
      <c r="E42" s="10" t="str">
        <f aca="false">VLOOKUP(D42,Compounds!$A$3:$B$152,2,FALSE())</f>
        <v>Singularity Alloy</v>
      </c>
      <c r="F42" s="7" t="s">
        <v>781</v>
      </c>
      <c r="G42" s="5" t="n">
        <v>388000</v>
      </c>
      <c r="H42" s="13" t="n">
        <f aca="false">G42*3</f>
        <v>1164000</v>
      </c>
      <c r="I42" s="13" t="n">
        <f aca="false">G42*0.25</f>
        <v>97000</v>
      </c>
    </row>
    <row r="43" customFormat="false" ht="15" hidden="false" customHeight="true" outlineLevel="0" collapsed="false">
      <c r="A43" s="3" t="s">
        <v>782</v>
      </c>
      <c r="B43" s="7" t="s">
        <v>413</v>
      </c>
      <c r="C43" s="10" t="str">
        <f aca="false">VLOOKUP(B43,Compounds!$A$3:$B$152,2,FALSE())</f>
        <v>Isochronal Lattice</v>
      </c>
      <c r="D43" s="7" t="s">
        <v>436</v>
      </c>
      <c r="E43" s="10" t="str">
        <f aca="false">VLOOKUP(D43,Compounds!$A$3:$B$152,2,FALSE())</f>
        <v>Antiferric Compound</v>
      </c>
      <c r="F43" s="7" t="s">
        <v>783</v>
      </c>
      <c r="G43" s="5" t="n">
        <v>627000</v>
      </c>
      <c r="H43" s="13" t="n">
        <f aca="false">G43*3</f>
        <v>1881000</v>
      </c>
      <c r="I43" s="13" t="n">
        <f aca="false">G43*0.25</f>
        <v>156750</v>
      </c>
    </row>
    <row r="44" customFormat="false" ht="15" hidden="false" customHeight="true" outlineLevel="0" collapsed="false">
      <c r="A44" s="3" t="s">
        <v>784</v>
      </c>
      <c r="B44" s="7" t="s">
        <v>413</v>
      </c>
      <c r="C44" s="10" t="str">
        <f aca="false">VLOOKUP(B44,Compounds!$A$3:$B$152,2,FALSE())</f>
        <v>Isochronal Lattice</v>
      </c>
      <c r="D44" s="7" t="s">
        <v>438</v>
      </c>
      <c r="E44" s="10" t="str">
        <f aca="false">VLOOKUP(D44,Compounds!$A$3:$B$152,2,FALSE())</f>
        <v>Quantum Foam Stabilizate</v>
      </c>
      <c r="F44" s="7" t="s">
        <v>785</v>
      </c>
      <c r="G44" s="5" t="n">
        <v>588000</v>
      </c>
      <c r="H44" s="13" t="n">
        <f aca="false">G44*3</f>
        <v>1764000</v>
      </c>
      <c r="I44" s="13" t="n">
        <f aca="false">G44*0.25</f>
        <v>147000</v>
      </c>
    </row>
    <row r="45" customFormat="false" ht="15" hidden="false" customHeight="true" outlineLevel="0" collapsed="false">
      <c r="A45" s="3" t="s">
        <v>786</v>
      </c>
      <c r="B45" s="7" t="s">
        <v>413</v>
      </c>
      <c r="C45" s="10" t="str">
        <f aca="false">VLOOKUP(B45,Compounds!$A$3:$B$152,2,FALSE())</f>
        <v>Isochronal Lattice</v>
      </c>
      <c r="D45" s="7" t="s">
        <v>440</v>
      </c>
      <c r="E45" s="10" t="str">
        <f aca="false">VLOOKUP(D45,Compounds!$A$3:$B$152,2,FALSE())</f>
        <v>Picoscale Architect</v>
      </c>
      <c r="F45" s="7" t="s">
        <v>787</v>
      </c>
      <c r="G45" s="5" t="n">
        <v>349000</v>
      </c>
      <c r="H45" s="13" t="n">
        <f aca="false">G45*3</f>
        <v>1047000</v>
      </c>
      <c r="I45" s="13" t="n">
        <f aca="false">G45*0.25</f>
        <v>87250</v>
      </c>
    </row>
    <row r="46" customFormat="false" ht="15" hidden="false" customHeight="true" outlineLevel="0" collapsed="false">
      <c r="A46" s="3" t="s">
        <v>788</v>
      </c>
      <c r="B46" s="7" t="s">
        <v>416</v>
      </c>
      <c r="C46" s="10" t="str">
        <f aca="false">VLOOKUP(B46,Compounds!$A$3:$B$152,2,FALSE())</f>
        <v>Vacuum-Phase Crystal</v>
      </c>
      <c r="D46" s="7" t="s">
        <v>416</v>
      </c>
      <c r="E46" s="10" t="str">
        <f aca="false">VLOOKUP(D46,Compounds!$A$3:$B$152,2,FALSE())</f>
        <v>Vacuum-Phase Crystal</v>
      </c>
      <c r="F46" s="7" t="s">
        <v>789</v>
      </c>
      <c r="G46" s="5" t="n">
        <v>356000</v>
      </c>
      <c r="H46" s="13" t="n">
        <f aca="false">G46*3</f>
        <v>1068000</v>
      </c>
      <c r="I46" s="13" t="n">
        <f aca="false">G46*0.25</f>
        <v>89000</v>
      </c>
    </row>
    <row r="47" customFormat="false" ht="15" hidden="false" customHeight="true" outlineLevel="0" collapsed="false">
      <c r="A47" s="3" t="s">
        <v>790</v>
      </c>
      <c r="B47" s="7" t="s">
        <v>416</v>
      </c>
      <c r="C47" s="10" t="str">
        <f aca="false">VLOOKUP(B47,Compounds!$A$3:$B$152,2,FALSE())</f>
        <v>Vacuum-Phase Crystal</v>
      </c>
      <c r="D47" s="7" t="s">
        <v>419</v>
      </c>
      <c r="E47" s="10" t="str">
        <f aca="false">VLOOKUP(D47,Compounds!$A$3:$B$152,2,FALSE())</f>
        <v>Chronostable Isotope</v>
      </c>
      <c r="F47" s="7" t="s">
        <v>791</v>
      </c>
      <c r="G47" s="5" t="n">
        <v>686000</v>
      </c>
      <c r="H47" s="13" t="n">
        <f aca="false">G47*3</f>
        <v>2058000</v>
      </c>
      <c r="I47" s="13" t="n">
        <f aca="false">G47*0.25</f>
        <v>171500</v>
      </c>
    </row>
    <row r="48" customFormat="false" ht="15" hidden="false" customHeight="true" outlineLevel="0" collapsed="false">
      <c r="A48" s="3" t="s">
        <v>792</v>
      </c>
      <c r="B48" s="7" t="s">
        <v>416</v>
      </c>
      <c r="C48" s="10" t="str">
        <f aca="false">VLOOKUP(B48,Compounds!$A$3:$B$152,2,FALSE())</f>
        <v>Vacuum-Phase Crystal</v>
      </c>
      <c r="D48" s="7" t="s">
        <v>422</v>
      </c>
      <c r="E48" s="10" t="str">
        <f aca="false">VLOOKUP(D48,Compounds!$A$3:$B$152,2,FALSE())</f>
        <v>Dark Lattice Composite</v>
      </c>
      <c r="F48" s="7" t="s">
        <v>793</v>
      </c>
      <c r="G48" s="5" t="n">
        <v>673000</v>
      </c>
      <c r="H48" s="13" t="n">
        <f aca="false">G48*3</f>
        <v>2019000</v>
      </c>
      <c r="I48" s="13" t="n">
        <f aca="false">G48*0.25</f>
        <v>168250</v>
      </c>
    </row>
    <row r="49" customFormat="false" ht="15" hidden="false" customHeight="true" outlineLevel="0" collapsed="false">
      <c r="A49" s="3" t="s">
        <v>794</v>
      </c>
      <c r="B49" s="7" t="s">
        <v>416</v>
      </c>
      <c r="C49" s="10" t="str">
        <f aca="false">VLOOKUP(B49,Compounds!$A$3:$B$152,2,FALSE())</f>
        <v>Vacuum-Phase Crystal</v>
      </c>
      <c r="D49" s="7" t="s">
        <v>424</v>
      </c>
      <c r="E49" s="10" t="str">
        <f aca="false">VLOOKUP(D49,Compounds!$A$3:$B$152,2,FALSE())</f>
        <v>Zero-Point Substrate</v>
      </c>
      <c r="F49" s="7" t="s">
        <v>795</v>
      </c>
      <c r="G49" s="5" t="n">
        <v>270000</v>
      </c>
      <c r="H49" s="13" t="n">
        <f aca="false">G49*3</f>
        <v>810000</v>
      </c>
      <c r="I49" s="13" t="n">
        <f aca="false">G49*0.25</f>
        <v>67500</v>
      </c>
    </row>
    <row r="50" customFormat="false" ht="15" hidden="false" customHeight="true" outlineLevel="0" collapsed="false">
      <c r="A50" s="3" t="s">
        <v>796</v>
      </c>
      <c r="B50" s="7" t="s">
        <v>416</v>
      </c>
      <c r="C50" s="10" t="str">
        <f aca="false">VLOOKUP(B50,Compounds!$A$3:$B$152,2,FALSE())</f>
        <v>Vacuum-Phase Crystal</v>
      </c>
      <c r="D50" s="7" t="s">
        <v>426</v>
      </c>
      <c r="E50" s="10" t="str">
        <f aca="false">VLOOKUP(D50,Compounds!$A$3:$B$152,2,FALSE())</f>
        <v>Entangled Matrix</v>
      </c>
      <c r="F50" s="7" t="s">
        <v>797</v>
      </c>
      <c r="G50" s="5" t="n">
        <v>511000</v>
      </c>
      <c r="H50" s="13" t="n">
        <f aca="false">G50*3</f>
        <v>1533000</v>
      </c>
      <c r="I50" s="13" t="n">
        <f aca="false">G50*0.25</f>
        <v>127750</v>
      </c>
    </row>
    <row r="51" customFormat="false" ht="15" hidden="false" customHeight="true" outlineLevel="0" collapsed="false">
      <c r="A51" s="3" t="s">
        <v>798</v>
      </c>
      <c r="B51" s="7" t="s">
        <v>416</v>
      </c>
      <c r="C51" s="10" t="str">
        <f aca="false">VLOOKUP(B51,Compounds!$A$3:$B$152,2,FALSE())</f>
        <v>Vacuum-Phase Crystal</v>
      </c>
      <c r="D51" s="7" t="s">
        <v>428</v>
      </c>
      <c r="E51" s="10" t="str">
        <f aca="false">VLOOKUP(D51,Compounds!$A$3:$B$152,2,FALSE())</f>
        <v>Femtosecond Glass</v>
      </c>
      <c r="F51" s="7" t="s">
        <v>799</v>
      </c>
      <c r="G51" s="5" t="n">
        <v>328000</v>
      </c>
      <c r="H51" s="13" t="n">
        <f aca="false">G51*3</f>
        <v>984000</v>
      </c>
      <c r="I51" s="13" t="n">
        <f aca="false">G51*0.25</f>
        <v>82000</v>
      </c>
    </row>
    <row r="52" customFormat="false" ht="15" hidden="false" customHeight="true" outlineLevel="0" collapsed="false">
      <c r="A52" s="3" t="s">
        <v>800</v>
      </c>
      <c r="B52" s="7" t="s">
        <v>416</v>
      </c>
      <c r="C52" s="10" t="str">
        <f aca="false">VLOOKUP(B52,Compounds!$A$3:$B$152,2,FALSE())</f>
        <v>Vacuum-Phase Crystal</v>
      </c>
      <c r="D52" s="7" t="s">
        <v>430</v>
      </c>
      <c r="E52" s="10" t="str">
        <f aca="false">VLOOKUP(D52,Compounds!$A$3:$B$152,2,FALSE())</f>
        <v>Degenerate Matter Pellet</v>
      </c>
      <c r="F52" s="7" t="s">
        <v>801</v>
      </c>
      <c r="G52" s="5" t="n">
        <v>787000</v>
      </c>
      <c r="H52" s="13" t="n">
        <f aca="false">G52*3</f>
        <v>2361000</v>
      </c>
      <c r="I52" s="13" t="n">
        <f aca="false">G52*0.25</f>
        <v>196750</v>
      </c>
    </row>
    <row r="53" customFormat="false" ht="15" hidden="false" customHeight="true" outlineLevel="0" collapsed="false">
      <c r="A53" s="3" t="s">
        <v>802</v>
      </c>
      <c r="B53" s="7" t="s">
        <v>416</v>
      </c>
      <c r="C53" s="10" t="str">
        <f aca="false">VLOOKUP(B53,Compounds!$A$3:$B$152,2,FALSE())</f>
        <v>Vacuum-Phase Crystal</v>
      </c>
      <c r="D53" s="7" t="s">
        <v>432</v>
      </c>
      <c r="E53" s="10" t="str">
        <f aca="false">VLOOKUP(D53,Compounds!$A$3:$B$152,2,FALSE())</f>
        <v>Hyperdense Ceramic</v>
      </c>
      <c r="F53" s="7" t="s">
        <v>803</v>
      </c>
      <c r="G53" s="5" t="n">
        <v>467000</v>
      </c>
      <c r="H53" s="13" t="n">
        <f aca="false">G53*3</f>
        <v>1401000</v>
      </c>
      <c r="I53" s="13" t="n">
        <f aca="false">G53*0.25</f>
        <v>116750</v>
      </c>
    </row>
    <row r="54" customFormat="false" ht="15" hidden="false" customHeight="true" outlineLevel="0" collapsed="false">
      <c r="A54" s="3" t="s">
        <v>804</v>
      </c>
      <c r="B54" s="7" t="s">
        <v>416</v>
      </c>
      <c r="C54" s="10" t="str">
        <f aca="false">VLOOKUP(B54,Compounds!$A$3:$B$152,2,FALSE())</f>
        <v>Vacuum-Phase Crystal</v>
      </c>
      <c r="D54" s="7" t="s">
        <v>434</v>
      </c>
      <c r="E54" s="10" t="str">
        <f aca="false">VLOOKUP(D54,Compounds!$A$3:$B$152,2,FALSE())</f>
        <v>Singularity Alloy</v>
      </c>
      <c r="F54" s="7" t="s">
        <v>805</v>
      </c>
      <c r="G54" s="5" t="n">
        <v>255000</v>
      </c>
      <c r="H54" s="13" t="n">
        <f aca="false">G54*3</f>
        <v>765000</v>
      </c>
      <c r="I54" s="13" t="n">
        <f aca="false">G54*0.25</f>
        <v>63750</v>
      </c>
    </row>
    <row r="55" customFormat="false" ht="15" hidden="false" customHeight="true" outlineLevel="0" collapsed="false">
      <c r="A55" s="3" t="s">
        <v>806</v>
      </c>
      <c r="B55" s="7" t="s">
        <v>416</v>
      </c>
      <c r="C55" s="10" t="str">
        <f aca="false">VLOOKUP(B55,Compounds!$A$3:$B$152,2,FALSE())</f>
        <v>Vacuum-Phase Crystal</v>
      </c>
      <c r="D55" s="7" t="s">
        <v>436</v>
      </c>
      <c r="E55" s="10" t="str">
        <f aca="false">VLOOKUP(D55,Compounds!$A$3:$B$152,2,FALSE())</f>
        <v>Antiferric Compound</v>
      </c>
      <c r="F55" s="7" t="s">
        <v>807</v>
      </c>
      <c r="G55" s="5" t="n">
        <v>477000</v>
      </c>
      <c r="H55" s="13" t="n">
        <f aca="false">G55*3</f>
        <v>1431000</v>
      </c>
      <c r="I55" s="13" t="n">
        <f aca="false">G55*0.25</f>
        <v>119250</v>
      </c>
    </row>
    <row r="56" customFormat="false" ht="15" hidden="false" customHeight="true" outlineLevel="0" collapsed="false">
      <c r="A56" s="3" t="s">
        <v>808</v>
      </c>
      <c r="B56" s="7" t="s">
        <v>416</v>
      </c>
      <c r="C56" s="10" t="str">
        <f aca="false">VLOOKUP(B56,Compounds!$A$3:$B$152,2,FALSE())</f>
        <v>Vacuum-Phase Crystal</v>
      </c>
      <c r="D56" s="7" t="s">
        <v>438</v>
      </c>
      <c r="E56" s="10" t="str">
        <f aca="false">VLOOKUP(D56,Compounds!$A$3:$B$152,2,FALSE())</f>
        <v>Quantum Foam Stabilizate</v>
      </c>
      <c r="F56" s="7" t="s">
        <v>809</v>
      </c>
      <c r="G56" s="5" t="n">
        <v>501000</v>
      </c>
      <c r="H56" s="13" t="n">
        <f aca="false">G56*3</f>
        <v>1503000</v>
      </c>
      <c r="I56" s="13" t="n">
        <f aca="false">G56*0.25</f>
        <v>125250</v>
      </c>
    </row>
    <row r="57" customFormat="false" ht="15" hidden="false" customHeight="true" outlineLevel="0" collapsed="false">
      <c r="A57" s="3" t="s">
        <v>810</v>
      </c>
      <c r="B57" s="7" t="s">
        <v>416</v>
      </c>
      <c r="C57" s="10" t="str">
        <f aca="false">VLOOKUP(B57,Compounds!$A$3:$B$152,2,FALSE())</f>
        <v>Vacuum-Phase Crystal</v>
      </c>
      <c r="D57" s="7" t="s">
        <v>440</v>
      </c>
      <c r="E57" s="10" t="str">
        <f aca="false">VLOOKUP(D57,Compounds!$A$3:$B$152,2,FALSE())</f>
        <v>Picoscale Architect</v>
      </c>
      <c r="F57" s="7" t="s">
        <v>811</v>
      </c>
      <c r="G57" s="5" t="n">
        <v>337000</v>
      </c>
      <c r="H57" s="13" t="n">
        <f aca="false">G57*3</f>
        <v>1011000</v>
      </c>
      <c r="I57" s="13" t="n">
        <f aca="false">G57*0.25</f>
        <v>84250</v>
      </c>
    </row>
    <row r="58" customFormat="false" ht="15" hidden="false" customHeight="true" outlineLevel="0" collapsed="false">
      <c r="A58" s="3" t="s">
        <v>812</v>
      </c>
      <c r="B58" s="7" t="s">
        <v>419</v>
      </c>
      <c r="C58" s="10" t="str">
        <f aca="false">VLOOKUP(B58,Compounds!$A$3:$B$152,2,FALSE())</f>
        <v>Chronostable Isotope</v>
      </c>
      <c r="D58" s="7" t="s">
        <v>419</v>
      </c>
      <c r="E58" s="10" t="str">
        <f aca="false">VLOOKUP(D58,Compounds!$A$3:$B$152,2,FALSE())</f>
        <v>Chronostable Isotope</v>
      </c>
      <c r="F58" s="7" t="s">
        <v>813</v>
      </c>
      <c r="G58" s="5" t="n">
        <v>436000</v>
      </c>
      <c r="H58" s="13" t="n">
        <f aca="false">G58*3</f>
        <v>1308000</v>
      </c>
      <c r="I58" s="13" t="n">
        <f aca="false">G58*0.25</f>
        <v>109000</v>
      </c>
    </row>
    <row r="59" customFormat="false" ht="15" hidden="false" customHeight="true" outlineLevel="0" collapsed="false">
      <c r="A59" s="3" t="s">
        <v>814</v>
      </c>
      <c r="B59" s="7" t="s">
        <v>419</v>
      </c>
      <c r="C59" s="10" t="str">
        <f aca="false">VLOOKUP(B59,Compounds!$A$3:$B$152,2,FALSE())</f>
        <v>Chronostable Isotope</v>
      </c>
      <c r="D59" s="7" t="s">
        <v>422</v>
      </c>
      <c r="E59" s="10" t="str">
        <f aca="false">VLOOKUP(D59,Compounds!$A$3:$B$152,2,FALSE())</f>
        <v>Dark Lattice Composite</v>
      </c>
      <c r="F59" s="7" t="s">
        <v>815</v>
      </c>
      <c r="G59" s="5" t="n">
        <v>715000</v>
      </c>
      <c r="H59" s="13" t="n">
        <f aca="false">G59*3</f>
        <v>2145000</v>
      </c>
      <c r="I59" s="13" t="n">
        <f aca="false">G59*0.25</f>
        <v>178750</v>
      </c>
    </row>
    <row r="60" customFormat="false" ht="15" hidden="false" customHeight="true" outlineLevel="0" collapsed="false">
      <c r="A60" s="3" t="s">
        <v>816</v>
      </c>
      <c r="B60" s="7" t="s">
        <v>419</v>
      </c>
      <c r="C60" s="10" t="str">
        <f aca="false">VLOOKUP(B60,Compounds!$A$3:$B$152,2,FALSE())</f>
        <v>Chronostable Isotope</v>
      </c>
      <c r="D60" s="7" t="s">
        <v>424</v>
      </c>
      <c r="E60" s="10" t="str">
        <f aca="false">VLOOKUP(D60,Compounds!$A$3:$B$152,2,FALSE())</f>
        <v>Zero-Point Substrate</v>
      </c>
      <c r="F60" s="7" t="s">
        <v>817</v>
      </c>
      <c r="G60" s="5" t="n">
        <v>720000</v>
      </c>
      <c r="H60" s="13" t="n">
        <f aca="false">G60*3</f>
        <v>2160000</v>
      </c>
      <c r="I60" s="13" t="n">
        <f aca="false">G60*0.25</f>
        <v>180000</v>
      </c>
    </row>
    <row r="61" customFormat="false" ht="15" hidden="false" customHeight="true" outlineLevel="0" collapsed="false">
      <c r="A61" s="3" t="s">
        <v>818</v>
      </c>
      <c r="B61" s="7" t="s">
        <v>419</v>
      </c>
      <c r="C61" s="10" t="str">
        <f aca="false">VLOOKUP(B61,Compounds!$A$3:$B$152,2,FALSE())</f>
        <v>Chronostable Isotope</v>
      </c>
      <c r="D61" s="7" t="s">
        <v>426</v>
      </c>
      <c r="E61" s="10" t="str">
        <f aca="false">VLOOKUP(D61,Compounds!$A$3:$B$152,2,FALSE())</f>
        <v>Entangled Matrix</v>
      </c>
      <c r="F61" s="7" t="s">
        <v>819</v>
      </c>
      <c r="G61" s="5" t="n">
        <v>796000</v>
      </c>
      <c r="H61" s="13" t="n">
        <f aca="false">G61*3</f>
        <v>2388000</v>
      </c>
      <c r="I61" s="13" t="n">
        <f aca="false">G61*0.25</f>
        <v>199000</v>
      </c>
    </row>
    <row r="62" customFormat="false" ht="15" hidden="false" customHeight="true" outlineLevel="0" collapsed="false">
      <c r="A62" s="3" t="s">
        <v>820</v>
      </c>
      <c r="B62" s="7" t="s">
        <v>419</v>
      </c>
      <c r="C62" s="10" t="str">
        <f aca="false">VLOOKUP(B62,Compounds!$A$3:$B$152,2,FALSE())</f>
        <v>Chronostable Isotope</v>
      </c>
      <c r="D62" s="7" t="s">
        <v>428</v>
      </c>
      <c r="E62" s="10" t="str">
        <f aca="false">VLOOKUP(D62,Compounds!$A$3:$B$152,2,FALSE())</f>
        <v>Femtosecond Glass</v>
      </c>
      <c r="F62" s="7" t="s">
        <v>821</v>
      </c>
      <c r="G62" s="5" t="n">
        <v>739000</v>
      </c>
      <c r="H62" s="13" t="n">
        <f aca="false">G62*3</f>
        <v>2217000</v>
      </c>
      <c r="I62" s="13" t="n">
        <f aca="false">G62*0.25</f>
        <v>184750</v>
      </c>
    </row>
    <row r="63" customFormat="false" ht="15" hidden="false" customHeight="true" outlineLevel="0" collapsed="false">
      <c r="A63" s="3" t="s">
        <v>822</v>
      </c>
      <c r="B63" s="7" t="s">
        <v>419</v>
      </c>
      <c r="C63" s="10" t="str">
        <f aca="false">VLOOKUP(B63,Compounds!$A$3:$B$152,2,FALSE())</f>
        <v>Chronostable Isotope</v>
      </c>
      <c r="D63" s="7" t="s">
        <v>430</v>
      </c>
      <c r="E63" s="10" t="str">
        <f aca="false">VLOOKUP(D63,Compounds!$A$3:$B$152,2,FALSE())</f>
        <v>Degenerate Matter Pellet</v>
      </c>
      <c r="F63" s="7" t="s">
        <v>823</v>
      </c>
      <c r="G63" s="5" t="n">
        <v>772000</v>
      </c>
      <c r="H63" s="13" t="n">
        <f aca="false">G63*3</f>
        <v>2316000</v>
      </c>
      <c r="I63" s="13" t="n">
        <f aca="false">G63*0.25</f>
        <v>193000</v>
      </c>
    </row>
    <row r="64" customFormat="false" ht="15" hidden="false" customHeight="true" outlineLevel="0" collapsed="false">
      <c r="A64" s="3" t="s">
        <v>824</v>
      </c>
      <c r="B64" s="7" t="s">
        <v>419</v>
      </c>
      <c r="C64" s="10" t="str">
        <f aca="false">VLOOKUP(B64,Compounds!$A$3:$B$152,2,FALSE())</f>
        <v>Chronostable Isotope</v>
      </c>
      <c r="D64" s="7" t="s">
        <v>432</v>
      </c>
      <c r="E64" s="10" t="str">
        <f aca="false">VLOOKUP(D64,Compounds!$A$3:$B$152,2,FALSE())</f>
        <v>Hyperdense Ceramic</v>
      </c>
      <c r="F64" s="7" t="s">
        <v>825</v>
      </c>
      <c r="G64" s="5" t="n">
        <v>596000</v>
      </c>
      <c r="H64" s="13" t="n">
        <f aca="false">G64*3</f>
        <v>1788000</v>
      </c>
      <c r="I64" s="13" t="n">
        <f aca="false">G64*0.25</f>
        <v>149000</v>
      </c>
    </row>
    <row r="65" customFormat="false" ht="15" hidden="false" customHeight="true" outlineLevel="0" collapsed="false">
      <c r="A65" s="3" t="s">
        <v>826</v>
      </c>
      <c r="B65" s="7" t="s">
        <v>419</v>
      </c>
      <c r="C65" s="10" t="str">
        <f aca="false">VLOOKUP(B65,Compounds!$A$3:$B$152,2,FALSE())</f>
        <v>Chronostable Isotope</v>
      </c>
      <c r="D65" s="7" t="s">
        <v>434</v>
      </c>
      <c r="E65" s="10" t="str">
        <f aca="false">VLOOKUP(D65,Compounds!$A$3:$B$152,2,FALSE())</f>
        <v>Singularity Alloy</v>
      </c>
      <c r="F65" s="7" t="s">
        <v>827</v>
      </c>
      <c r="G65" s="5" t="n">
        <v>758000</v>
      </c>
      <c r="H65" s="13" t="n">
        <f aca="false">G65*3</f>
        <v>2274000</v>
      </c>
      <c r="I65" s="13" t="n">
        <f aca="false">G65*0.25</f>
        <v>189500</v>
      </c>
    </row>
    <row r="66" customFormat="false" ht="15" hidden="false" customHeight="true" outlineLevel="0" collapsed="false">
      <c r="A66" s="3" t="s">
        <v>828</v>
      </c>
      <c r="B66" s="7" t="s">
        <v>419</v>
      </c>
      <c r="C66" s="10" t="str">
        <f aca="false">VLOOKUP(B66,Compounds!$A$3:$B$152,2,FALSE())</f>
        <v>Chronostable Isotope</v>
      </c>
      <c r="D66" s="7" t="s">
        <v>436</v>
      </c>
      <c r="E66" s="10" t="str">
        <f aca="false">VLOOKUP(D66,Compounds!$A$3:$B$152,2,FALSE())</f>
        <v>Antiferric Compound</v>
      </c>
      <c r="F66" s="7" t="s">
        <v>829</v>
      </c>
      <c r="G66" s="5" t="n">
        <v>328000</v>
      </c>
      <c r="H66" s="13" t="n">
        <f aca="false">G66*3</f>
        <v>984000</v>
      </c>
      <c r="I66" s="13" t="n">
        <f aca="false">G66*0.25</f>
        <v>82000</v>
      </c>
    </row>
    <row r="67" customFormat="false" ht="15" hidden="false" customHeight="true" outlineLevel="0" collapsed="false">
      <c r="A67" s="3" t="s">
        <v>830</v>
      </c>
      <c r="B67" s="7" t="s">
        <v>419</v>
      </c>
      <c r="C67" s="10" t="str">
        <f aca="false">VLOOKUP(B67,Compounds!$A$3:$B$152,2,FALSE())</f>
        <v>Chronostable Isotope</v>
      </c>
      <c r="D67" s="7" t="s">
        <v>438</v>
      </c>
      <c r="E67" s="10" t="str">
        <f aca="false">VLOOKUP(D67,Compounds!$A$3:$B$152,2,FALSE())</f>
        <v>Quantum Foam Stabilizate</v>
      </c>
      <c r="F67" s="7" t="s">
        <v>831</v>
      </c>
      <c r="G67" s="5" t="n">
        <v>646000</v>
      </c>
      <c r="H67" s="13" t="n">
        <f aca="false">G67*3</f>
        <v>1938000</v>
      </c>
      <c r="I67" s="13" t="n">
        <f aca="false">G67*0.25</f>
        <v>161500</v>
      </c>
    </row>
    <row r="68" customFormat="false" ht="15" hidden="false" customHeight="true" outlineLevel="0" collapsed="false">
      <c r="A68" s="3" t="s">
        <v>832</v>
      </c>
      <c r="B68" s="7" t="s">
        <v>419</v>
      </c>
      <c r="C68" s="10" t="str">
        <f aca="false">VLOOKUP(B68,Compounds!$A$3:$B$152,2,FALSE())</f>
        <v>Chronostable Isotope</v>
      </c>
      <c r="D68" s="7" t="s">
        <v>440</v>
      </c>
      <c r="E68" s="10" t="str">
        <f aca="false">VLOOKUP(D68,Compounds!$A$3:$B$152,2,FALSE())</f>
        <v>Picoscale Architect</v>
      </c>
      <c r="F68" s="7" t="s">
        <v>833</v>
      </c>
      <c r="G68" s="5" t="n">
        <v>556000</v>
      </c>
      <c r="H68" s="13" t="n">
        <f aca="false">G68*3</f>
        <v>1668000</v>
      </c>
      <c r="I68" s="13" t="n">
        <f aca="false">G68*0.25</f>
        <v>139000</v>
      </c>
    </row>
    <row r="69" customFormat="false" ht="15" hidden="false" customHeight="true" outlineLevel="0" collapsed="false">
      <c r="A69" s="3" t="s">
        <v>834</v>
      </c>
      <c r="B69" s="7" t="s">
        <v>422</v>
      </c>
      <c r="C69" s="10" t="str">
        <f aca="false">VLOOKUP(B69,Compounds!$A$3:$B$152,2,FALSE())</f>
        <v>Dark Lattice Composite</v>
      </c>
      <c r="D69" s="7" t="s">
        <v>422</v>
      </c>
      <c r="E69" s="10" t="str">
        <f aca="false">VLOOKUP(D69,Compounds!$A$3:$B$152,2,FALSE())</f>
        <v>Dark Lattice Composite</v>
      </c>
      <c r="F69" s="7" t="s">
        <v>835</v>
      </c>
      <c r="G69" s="5" t="n">
        <v>292000</v>
      </c>
      <c r="H69" s="13" t="n">
        <f aca="false">G69*3</f>
        <v>876000</v>
      </c>
      <c r="I69" s="13" t="n">
        <f aca="false">G69*0.25</f>
        <v>73000</v>
      </c>
    </row>
    <row r="70" customFormat="false" ht="15" hidden="false" customHeight="true" outlineLevel="0" collapsed="false">
      <c r="A70" s="3" t="s">
        <v>836</v>
      </c>
      <c r="B70" s="7" t="s">
        <v>422</v>
      </c>
      <c r="C70" s="10" t="str">
        <f aca="false">VLOOKUP(B70,Compounds!$A$3:$B$152,2,FALSE())</f>
        <v>Dark Lattice Composite</v>
      </c>
      <c r="D70" s="7" t="s">
        <v>424</v>
      </c>
      <c r="E70" s="10" t="str">
        <f aca="false">VLOOKUP(D70,Compounds!$A$3:$B$152,2,FALSE())</f>
        <v>Zero-Point Substrate</v>
      </c>
      <c r="F70" s="7" t="s">
        <v>837</v>
      </c>
      <c r="G70" s="5" t="n">
        <v>622000</v>
      </c>
      <c r="H70" s="13" t="n">
        <f aca="false">G70*3</f>
        <v>1866000</v>
      </c>
      <c r="I70" s="13" t="n">
        <f aca="false">G70*0.25</f>
        <v>155500</v>
      </c>
    </row>
    <row r="71" customFormat="false" ht="15" hidden="false" customHeight="true" outlineLevel="0" collapsed="false">
      <c r="A71" s="3" t="s">
        <v>838</v>
      </c>
      <c r="B71" s="7" t="s">
        <v>422</v>
      </c>
      <c r="C71" s="10" t="str">
        <f aca="false">VLOOKUP(B71,Compounds!$A$3:$B$152,2,FALSE())</f>
        <v>Dark Lattice Composite</v>
      </c>
      <c r="D71" s="7" t="s">
        <v>426</v>
      </c>
      <c r="E71" s="10" t="str">
        <f aca="false">VLOOKUP(D71,Compounds!$A$3:$B$152,2,FALSE())</f>
        <v>Entangled Matrix</v>
      </c>
      <c r="F71" s="7" t="s">
        <v>839</v>
      </c>
      <c r="G71" s="5" t="n">
        <v>780000</v>
      </c>
      <c r="H71" s="13" t="n">
        <f aca="false">G71*3</f>
        <v>2340000</v>
      </c>
      <c r="I71" s="13" t="n">
        <f aca="false">G71*0.25</f>
        <v>195000</v>
      </c>
    </row>
    <row r="72" customFormat="false" ht="15" hidden="false" customHeight="true" outlineLevel="0" collapsed="false">
      <c r="A72" s="3" t="s">
        <v>840</v>
      </c>
      <c r="B72" s="7" t="s">
        <v>422</v>
      </c>
      <c r="C72" s="10" t="str">
        <f aca="false">VLOOKUP(B72,Compounds!$A$3:$B$152,2,FALSE())</f>
        <v>Dark Lattice Composite</v>
      </c>
      <c r="D72" s="7" t="s">
        <v>428</v>
      </c>
      <c r="E72" s="10" t="str">
        <f aca="false">VLOOKUP(D72,Compounds!$A$3:$B$152,2,FALSE())</f>
        <v>Femtosecond Glass</v>
      </c>
      <c r="F72" s="7" t="s">
        <v>841</v>
      </c>
      <c r="G72" s="5" t="n">
        <v>481000</v>
      </c>
      <c r="H72" s="13" t="n">
        <f aca="false">G72*3</f>
        <v>1443000</v>
      </c>
      <c r="I72" s="13" t="n">
        <f aca="false">G72*0.25</f>
        <v>120250</v>
      </c>
    </row>
    <row r="73" customFormat="false" ht="15" hidden="false" customHeight="true" outlineLevel="0" collapsed="false">
      <c r="A73" s="3" t="s">
        <v>842</v>
      </c>
      <c r="B73" s="7" t="s">
        <v>422</v>
      </c>
      <c r="C73" s="10" t="str">
        <f aca="false">VLOOKUP(B73,Compounds!$A$3:$B$152,2,FALSE())</f>
        <v>Dark Lattice Composite</v>
      </c>
      <c r="D73" s="7" t="s">
        <v>430</v>
      </c>
      <c r="E73" s="10" t="str">
        <f aca="false">VLOOKUP(D73,Compounds!$A$3:$B$152,2,FALSE())</f>
        <v>Degenerate Matter Pellet</v>
      </c>
      <c r="F73" s="7" t="s">
        <v>843</v>
      </c>
      <c r="G73" s="5" t="n">
        <v>729000</v>
      </c>
      <c r="H73" s="13" t="n">
        <f aca="false">G73*3</f>
        <v>2187000</v>
      </c>
      <c r="I73" s="13" t="n">
        <f aca="false">G73*0.25</f>
        <v>182250</v>
      </c>
    </row>
    <row r="74" customFormat="false" ht="15" hidden="false" customHeight="true" outlineLevel="0" collapsed="false">
      <c r="A74" s="3" t="s">
        <v>844</v>
      </c>
      <c r="B74" s="7" t="s">
        <v>422</v>
      </c>
      <c r="C74" s="10" t="str">
        <f aca="false">VLOOKUP(B74,Compounds!$A$3:$B$152,2,FALSE())</f>
        <v>Dark Lattice Composite</v>
      </c>
      <c r="D74" s="7" t="s">
        <v>432</v>
      </c>
      <c r="E74" s="10" t="str">
        <f aca="false">VLOOKUP(D74,Compounds!$A$3:$B$152,2,FALSE())</f>
        <v>Hyperdense Ceramic</v>
      </c>
      <c r="F74" s="7" t="s">
        <v>845</v>
      </c>
      <c r="G74" s="5" t="n">
        <v>417000</v>
      </c>
      <c r="H74" s="13" t="n">
        <f aca="false">G74*3</f>
        <v>1251000</v>
      </c>
      <c r="I74" s="13" t="n">
        <f aca="false">G74*0.25</f>
        <v>104250</v>
      </c>
    </row>
    <row r="75" customFormat="false" ht="15" hidden="false" customHeight="true" outlineLevel="0" collapsed="false">
      <c r="A75" s="3" t="s">
        <v>846</v>
      </c>
      <c r="B75" s="7" t="s">
        <v>422</v>
      </c>
      <c r="C75" s="10" t="str">
        <f aca="false">VLOOKUP(B75,Compounds!$A$3:$B$152,2,FALSE())</f>
        <v>Dark Lattice Composite</v>
      </c>
      <c r="D75" s="7" t="s">
        <v>434</v>
      </c>
      <c r="E75" s="10" t="str">
        <f aca="false">VLOOKUP(D75,Compounds!$A$3:$B$152,2,FALSE())</f>
        <v>Singularity Alloy</v>
      </c>
      <c r="F75" s="7" t="s">
        <v>847</v>
      </c>
      <c r="G75" s="5" t="n">
        <v>620000</v>
      </c>
      <c r="H75" s="13" t="n">
        <f aca="false">G75*3</f>
        <v>1860000</v>
      </c>
      <c r="I75" s="13" t="n">
        <f aca="false">G75*0.25</f>
        <v>155000</v>
      </c>
    </row>
    <row r="76" customFormat="false" ht="15" hidden="false" customHeight="true" outlineLevel="0" collapsed="false">
      <c r="A76" s="3" t="s">
        <v>848</v>
      </c>
      <c r="B76" s="7" t="s">
        <v>422</v>
      </c>
      <c r="C76" s="10" t="str">
        <f aca="false">VLOOKUP(B76,Compounds!$A$3:$B$152,2,FALSE())</f>
        <v>Dark Lattice Composite</v>
      </c>
      <c r="D76" s="7" t="s">
        <v>436</v>
      </c>
      <c r="E76" s="10" t="str">
        <f aca="false">VLOOKUP(D76,Compounds!$A$3:$B$152,2,FALSE())</f>
        <v>Antiferric Compound</v>
      </c>
      <c r="F76" s="7" t="s">
        <v>849</v>
      </c>
      <c r="G76" s="5" t="n">
        <v>614000</v>
      </c>
      <c r="H76" s="13" t="n">
        <f aca="false">G76*3</f>
        <v>1842000</v>
      </c>
      <c r="I76" s="13" t="n">
        <f aca="false">G76*0.25</f>
        <v>153500</v>
      </c>
    </row>
    <row r="77" customFormat="false" ht="15" hidden="false" customHeight="true" outlineLevel="0" collapsed="false">
      <c r="A77" s="3" t="s">
        <v>850</v>
      </c>
      <c r="B77" s="7" t="s">
        <v>422</v>
      </c>
      <c r="C77" s="10" t="str">
        <f aca="false">VLOOKUP(B77,Compounds!$A$3:$B$152,2,FALSE())</f>
        <v>Dark Lattice Composite</v>
      </c>
      <c r="D77" s="7" t="s">
        <v>438</v>
      </c>
      <c r="E77" s="10" t="str">
        <f aca="false">VLOOKUP(D77,Compounds!$A$3:$B$152,2,FALSE())</f>
        <v>Quantum Foam Stabilizate</v>
      </c>
      <c r="F77" s="7" t="s">
        <v>851</v>
      </c>
      <c r="G77" s="5" t="n">
        <v>330000</v>
      </c>
      <c r="H77" s="13" t="n">
        <f aca="false">G77*3</f>
        <v>990000</v>
      </c>
      <c r="I77" s="13" t="n">
        <f aca="false">G77*0.25</f>
        <v>82500</v>
      </c>
    </row>
    <row r="78" customFormat="false" ht="15" hidden="false" customHeight="true" outlineLevel="0" collapsed="false">
      <c r="A78" s="3" t="s">
        <v>852</v>
      </c>
      <c r="B78" s="7" t="s">
        <v>422</v>
      </c>
      <c r="C78" s="10" t="str">
        <f aca="false">VLOOKUP(B78,Compounds!$A$3:$B$152,2,FALSE())</f>
        <v>Dark Lattice Composite</v>
      </c>
      <c r="D78" s="7" t="s">
        <v>440</v>
      </c>
      <c r="E78" s="10" t="str">
        <f aca="false">VLOOKUP(D78,Compounds!$A$3:$B$152,2,FALSE())</f>
        <v>Picoscale Architect</v>
      </c>
      <c r="F78" s="7" t="s">
        <v>853</v>
      </c>
      <c r="G78" s="5" t="n">
        <v>257000</v>
      </c>
      <c r="H78" s="13" t="n">
        <f aca="false">G78*3</f>
        <v>771000</v>
      </c>
      <c r="I78" s="13" t="n">
        <f aca="false">G78*0.25</f>
        <v>64250</v>
      </c>
    </row>
    <row r="79" customFormat="false" ht="15" hidden="false" customHeight="true" outlineLevel="0" collapsed="false">
      <c r="A79" s="3" t="s">
        <v>854</v>
      </c>
      <c r="B79" s="7" t="s">
        <v>424</v>
      </c>
      <c r="C79" s="10" t="str">
        <f aca="false">VLOOKUP(B79,Compounds!$A$3:$B$152,2,FALSE())</f>
        <v>Zero-Point Substrate</v>
      </c>
      <c r="D79" s="7" t="s">
        <v>424</v>
      </c>
      <c r="E79" s="10" t="str">
        <f aca="false">VLOOKUP(D79,Compounds!$A$3:$B$152,2,FALSE())</f>
        <v>Zero-Point Substrate</v>
      </c>
      <c r="F79" s="7" t="s">
        <v>855</v>
      </c>
      <c r="G79" s="5" t="n">
        <v>574000</v>
      </c>
      <c r="H79" s="13" t="n">
        <f aca="false">G79*3</f>
        <v>1722000</v>
      </c>
      <c r="I79" s="13" t="n">
        <f aca="false">G79*0.25</f>
        <v>143500</v>
      </c>
    </row>
    <row r="80" customFormat="false" ht="15" hidden="false" customHeight="true" outlineLevel="0" collapsed="false">
      <c r="A80" s="3" t="s">
        <v>856</v>
      </c>
      <c r="B80" s="7" t="s">
        <v>424</v>
      </c>
      <c r="C80" s="10" t="str">
        <f aca="false">VLOOKUP(B80,Compounds!$A$3:$B$152,2,FALSE())</f>
        <v>Zero-Point Substrate</v>
      </c>
      <c r="D80" s="7" t="s">
        <v>426</v>
      </c>
      <c r="E80" s="10" t="str">
        <f aca="false">VLOOKUP(D80,Compounds!$A$3:$B$152,2,FALSE())</f>
        <v>Entangled Matrix</v>
      </c>
      <c r="F80" s="7" t="s">
        <v>857</v>
      </c>
      <c r="G80" s="5" t="n">
        <v>799000</v>
      </c>
      <c r="H80" s="13" t="n">
        <f aca="false">G80*3</f>
        <v>2397000</v>
      </c>
      <c r="I80" s="13" t="n">
        <f aca="false">G80*0.25</f>
        <v>199750</v>
      </c>
    </row>
    <row r="81" customFormat="false" ht="15" hidden="false" customHeight="true" outlineLevel="0" collapsed="false">
      <c r="A81" s="3" t="s">
        <v>858</v>
      </c>
      <c r="B81" s="7" t="s">
        <v>424</v>
      </c>
      <c r="C81" s="10" t="str">
        <f aca="false">VLOOKUP(B81,Compounds!$A$3:$B$152,2,FALSE())</f>
        <v>Zero-Point Substrate</v>
      </c>
      <c r="D81" s="7" t="s">
        <v>428</v>
      </c>
      <c r="E81" s="10" t="str">
        <f aca="false">VLOOKUP(D81,Compounds!$A$3:$B$152,2,FALSE())</f>
        <v>Femtosecond Glass</v>
      </c>
      <c r="F81" s="7" t="s">
        <v>859</v>
      </c>
      <c r="G81" s="5" t="n">
        <v>706000</v>
      </c>
      <c r="H81" s="13" t="n">
        <f aca="false">G81*3</f>
        <v>2118000</v>
      </c>
      <c r="I81" s="13" t="n">
        <f aca="false">G81*0.25</f>
        <v>176500</v>
      </c>
    </row>
    <row r="82" customFormat="false" ht="15" hidden="false" customHeight="true" outlineLevel="0" collapsed="false">
      <c r="A82" s="3" t="s">
        <v>860</v>
      </c>
      <c r="B82" s="7" t="s">
        <v>424</v>
      </c>
      <c r="C82" s="10" t="str">
        <f aca="false">VLOOKUP(B82,Compounds!$A$3:$B$152,2,FALSE())</f>
        <v>Zero-Point Substrate</v>
      </c>
      <c r="D82" s="7" t="s">
        <v>430</v>
      </c>
      <c r="E82" s="10" t="str">
        <f aca="false">VLOOKUP(D82,Compounds!$A$3:$B$152,2,FALSE())</f>
        <v>Degenerate Matter Pellet</v>
      </c>
      <c r="F82" s="7" t="s">
        <v>861</v>
      </c>
      <c r="G82" s="5" t="n">
        <v>721000</v>
      </c>
      <c r="H82" s="13" t="n">
        <f aca="false">G82*3</f>
        <v>2163000</v>
      </c>
      <c r="I82" s="13" t="n">
        <f aca="false">G82*0.25</f>
        <v>180250</v>
      </c>
    </row>
    <row r="83" customFormat="false" ht="15" hidden="false" customHeight="true" outlineLevel="0" collapsed="false">
      <c r="A83" s="3" t="s">
        <v>862</v>
      </c>
      <c r="B83" s="7" t="s">
        <v>424</v>
      </c>
      <c r="C83" s="10" t="str">
        <f aca="false">VLOOKUP(B83,Compounds!$A$3:$B$152,2,FALSE())</f>
        <v>Zero-Point Substrate</v>
      </c>
      <c r="D83" s="7" t="s">
        <v>432</v>
      </c>
      <c r="E83" s="10" t="str">
        <f aca="false">VLOOKUP(D83,Compounds!$A$3:$B$152,2,FALSE())</f>
        <v>Hyperdense Ceramic</v>
      </c>
      <c r="F83" s="7" t="s">
        <v>863</v>
      </c>
      <c r="G83" s="5" t="n">
        <v>604000</v>
      </c>
      <c r="H83" s="13" t="n">
        <f aca="false">G83*3</f>
        <v>1812000</v>
      </c>
      <c r="I83" s="13" t="n">
        <f aca="false">G83*0.25</f>
        <v>151000</v>
      </c>
    </row>
    <row r="84" customFormat="false" ht="15" hidden="false" customHeight="true" outlineLevel="0" collapsed="false">
      <c r="A84" s="3" t="s">
        <v>864</v>
      </c>
      <c r="B84" s="7" t="s">
        <v>424</v>
      </c>
      <c r="C84" s="10" t="str">
        <f aca="false">VLOOKUP(B84,Compounds!$A$3:$B$152,2,FALSE())</f>
        <v>Zero-Point Substrate</v>
      </c>
      <c r="D84" s="7" t="s">
        <v>434</v>
      </c>
      <c r="E84" s="10" t="str">
        <f aca="false">VLOOKUP(D84,Compounds!$A$3:$B$152,2,FALSE())</f>
        <v>Singularity Alloy</v>
      </c>
      <c r="F84" s="7" t="s">
        <v>865</v>
      </c>
      <c r="G84" s="5" t="n">
        <v>301000</v>
      </c>
      <c r="H84" s="13" t="n">
        <f aca="false">G84*3</f>
        <v>903000</v>
      </c>
      <c r="I84" s="13" t="n">
        <f aca="false">G84*0.25</f>
        <v>75250</v>
      </c>
    </row>
    <row r="85" customFormat="false" ht="15" hidden="false" customHeight="true" outlineLevel="0" collapsed="false">
      <c r="A85" s="3" t="s">
        <v>866</v>
      </c>
      <c r="B85" s="7" t="s">
        <v>424</v>
      </c>
      <c r="C85" s="10" t="str">
        <f aca="false">VLOOKUP(B85,Compounds!$A$3:$B$152,2,FALSE())</f>
        <v>Zero-Point Substrate</v>
      </c>
      <c r="D85" s="7" t="s">
        <v>436</v>
      </c>
      <c r="E85" s="10" t="str">
        <f aca="false">VLOOKUP(D85,Compounds!$A$3:$B$152,2,FALSE())</f>
        <v>Antiferric Compound</v>
      </c>
      <c r="F85" s="7" t="s">
        <v>867</v>
      </c>
      <c r="G85" s="5" t="n">
        <v>795000</v>
      </c>
      <c r="H85" s="13" t="n">
        <f aca="false">G85*3</f>
        <v>2385000</v>
      </c>
      <c r="I85" s="13" t="n">
        <f aca="false">G85*0.25</f>
        <v>198750</v>
      </c>
    </row>
    <row r="86" customFormat="false" ht="15" hidden="false" customHeight="true" outlineLevel="0" collapsed="false">
      <c r="A86" s="3" t="s">
        <v>868</v>
      </c>
      <c r="B86" s="7" t="s">
        <v>424</v>
      </c>
      <c r="C86" s="10" t="str">
        <f aca="false">VLOOKUP(B86,Compounds!$A$3:$B$152,2,FALSE())</f>
        <v>Zero-Point Substrate</v>
      </c>
      <c r="D86" s="7" t="s">
        <v>438</v>
      </c>
      <c r="E86" s="10" t="str">
        <f aca="false">VLOOKUP(D86,Compounds!$A$3:$B$152,2,FALSE())</f>
        <v>Quantum Foam Stabilizate</v>
      </c>
      <c r="F86" s="7" t="s">
        <v>869</v>
      </c>
      <c r="G86" s="5" t="n">
        <v>689000</v>
      </c>
      <c r="H86" s="13" t="n">
        <f aca="false">G86*3</f>
        <v>2067000</v>
      </c>
      <c r="I86" s="13" t="n">
        <f aca="false">G86*0.25</f>
        <v>172250</v>
      </c>
    </row>
    <row r="87" customFormat="false" ht="15" hidden="false" customHeight="true" outlineLevel="0" collapsed="false">
      <c r="A87" s="3" t="s">
        <v>870</v>
      </c>
      <c r="B87" s="7" t="s">
        <v>424</v>
      </c>
      <c r="C87" s="10" t="str">
        <f aca="false">VLOOKUP(B87,Compounds!$A$3:$B$152,2,FALSE())</f>
        <v>Zero-Point Substrate</v>
      </c>
      <c r="D87" s="7" t="s">
        <v>440</v>
      </c>
      <c r="E87" s="10" t="str">
        <f aca="false">VLOOKUP(D87,Compounds!$A$3:$B$152,2,FALSE())</f>
        <v>Picoscale Architect</v>
      </c>
      <c r="F87" s="7" t="s">
        <v>871</v>
      </c>
      <c r="G87" s="5" t="n">
        <v>743000</v>
      </c>
      <c r="H87" s="13" t="n">
        <f aca="false">G87*3</f>
        <v>2229000</v>
      </c>
      <c r="I87" s="13" t="n">
        <f aca="false">G87*0.25</f>
        <v>185750</v>
      </c>
    </row>
    <row r="88" customFormat="false" ht="15" hidden="false" customHeight="true" outlineLevel="0" collapsed="false">
      <c r="A88" s="3" t="s">
        <v>872</v>
      </c>
      <c r="B88" s="7" t="s">
        <v>426</v>
      </c>
      <c r="C88" s="10" t="str">
        <f aca="false">VLOOKUP(B88,Compounds!$A$3:$B$152,2,FALSE())</f>
        <v>Entangled Matrix</v>
      </c>
      <c r="D88" s="7" t="s">
        <v>426</v>
      </c>
      <c r="E88" s="10" t="str">
        <f aca="false">VLOOKUP(D88,Compounds!$A$3:$B$152,2,FALSE())</f>
        <v>Entangled Matrix</v>
      </c>
      <c r="F88" s="7" t="s">
        <v>873</v>
      </c>
      <c r="G88" s="5" t="n">
        <v>480000</v>
      </c>
      <c r="H88" s="13" t="n">
        <f aca="false">G88*3</f>
        <v>1440000</v>
      </c>
      <c r="I88" s="13" t="n">
        <f aca="false">G88*0.25</f>
        <v>120000</v>
      </c>
    </row>
    <row r="89" customFormat="false" ht="15" hidden="false" customHeight="true" outlineLevel="0" collapsed="false">
      <c r="A89" s="3" t="s">
        <v>874</v>
      </c>
      <c r="B89" s="7" t="s">
        <v>426</v>
      </c>
      <c r="C89" s="10" t="str">
        <f aca="false">VLOOKUP(B89,Compounds!$A$3:$B$152,2,FALSE())</f>
        <v>Entangled Matrix</v>
      </c>
      <c r="D89" s="7" t="s">
        <v>428</v>
      </c>
      <c r="E89" s="10" t="str">
        <f aca="false">VLOOKUP(D89,Compounds!$A$3:$B$152,2,FALSE())</f>
        <v>Femtosecond Glass</v>
      </c>
      <c r="F89" s="7" t="s">
        <v>875</v>
      </c>
      <c r="G89" s="5" t="n">
        <v>542000</v>
      </c>
      <c r="H89" s="13" t="n">
        <f aca="false">G89*3</f>
        <v>1626000</v>
      </c>
      <c r="I89" s="13" t="n">
        <f aca="false">G89*0.25</f>
        <v>135500</v>
      </c>
    </row>
    <row r="90" customFormat="false" ht="15" hidden="false" customHeight="true" outlineLevel="0" collapsed="false">
      <c r="A90" s="3" t="s">
        <v>876</v>
      </c>
      <c r="B90" s="7" t="s">
        <v>426</v>
      </c>
      <c r="C90" s="10" t="str">
        <f aca="false">VLOOKUP(B90,Compounds!$A$3:$B$152,2,FALSE())</f>
        <v>Entangled Matrix</v>
      </c>
      <c r="D90" s="7" t="s">
        <v>430</v>
      </c>
      <c r="E90" s="10" t="str">
        <f aca="false">VLOOKUP(D90,Compounds!$A$3:$B$152,2,FALSE())</f>
        <v>Degenerate Matter Pellet</v>
      </c>
      <c r="F90" s="7" t="s">
        <v>877</v>
      </c>
      <c r="G90" s="5" t="n">
        <v>635000</v>
      </c>
      <c r="H90" s="13" t="n">
        <f aca="false">G90*3</f>
        <v>1905000</v>
      </c>
      <c r="I90" s="13" t="n">
        <f aca="false">G90*0.25</f>
        <v>158750</v>
      </c>
    </row>
    <row r="91" customFormat="false" ht="15" hidden="false" customHeight="true" outlineLevel="0" collapsed="false">
      <c r="A91" s="3" t="s">
        <v>878</v>
      </c>
      <c r="B91" s="7" t="s">
        <v>426</v>
      </c>
      <c r="C91" s="10" t="str">
        <f aca="false">VLOOKUP(B91,Compounds!$A$3:$B$152,2,FALSE())</f>
        <v>Entangled Matrix</v>
      </c>
      <c r="D91" s="7" t="s">
        <v>432</v>
      </c>
      <c r="E91" s="10" t="str">
        <f aca="false">VLOOKUP(D91,Compounds!$A$3:$B$152,2,FALSE())</f>
        <v>Hyperdense Ceramic</v>
      </c>
      <c r="F91" s="7" t="s">
        <v>879</v>
      </c>
      <c r="G91" s="5" t="n">
        <v>259000</v>
      </c>
      <c r="H91" s="13" t="n">
        <f aca="false">G91*3</f>
        <v>777000</v>
      </c>
      <c r="I91" s="13" t="n">
        <f aca="false">G91*0.25</f>
        <v>64750</v>
      </c>
    </row>
    <row r="92" customFormat="false" ht="15" hidden="false" customHeight="true" outlineLevel="0" collapsed="false">
      <c r="A92" s="3" t="s">
        <v>880</v>
      </c>
      <c r="B92" s="7" t="s">
        <v>426</v>
      </c>
      <c r="C92" s="10" t="str">
        <f aca="false">VLOOKUP(B92,Compounds!$A$3:$B$152,2,FALSE())</f>
        <v>Entangled Matrix</v>
      </c>
      <c r="D92" s="7" t="s">
        <v>434</v>
      </c>
      <c r="E92" s="10" t="str">
        <f aca="false">VLOOKUP(D92,Compounds!$A$3:$B$152,2,FALSE())</f>
        <v>Singularity Alloy</v>
      </c>
      <c r="F92" s="7" t="s">
        <v>881</v>
      </c>
      <c r="G92" s="5" t="n">
        <v>612000</v>
      </c>
      <c r="H92" s="13" t="n">
        <f aca="false">G92*3</f>
        <v>1836000</v>
      </c>
      <c r="I92" s="13" t="n">
        <f aca="false">G92*0.25</f>
        <v>153000</v>
      </c>
    </row>
    <row r="93" customFormat="false" ht="15" hidden="false" customHeight="true" outlineLevel="0" collapsed="false">
      <c r="A93" s="3" t="s">
        <v>882</v>
      </c>
      <c r="B93" s="7" t="s">
        <v>426</v>
      </c>
      <c r="C93" s="10" t="str">
        <f aca="false">VLOOKUP(B93,Compounds!$A$3:$B$152,2,FALSE())</f>
        <v>Entangled Matrix</v>
      </c>
      <c r="D93" s="7" t="s">
        <v>436</v>
      </c>
      <c r="E93" s="10" t="str">
        <f aca="false">VLOOKUP(D93,Compounds!$A$3:$B$152,2,FALSE())</f>
        <v>Antiferric Compound</v>
      </c>
      <c r="F93" s="7" t="s">
        <v>883</v>
      </c>
      <c r="G93" s="5" t="n">
        <v>279000</v>
      </c>
      <c r="H93" s="13" t="n">
        <f aca="false">G93*3</f>
        <v>837000</v>
      </c>
      <c r="I93" s="13" t="n">
        <f aca="false">G93*0.25</f>
        <v>69750</v>
      </c>
    </row>
    <row r="94" customFormat="false" ht="15" hidden="false" customHeight="true" outlineLevel="0" collapsed="false">
      <c r="A94" s="3" t="s">
        <v>884</v>
      </c>
      <c r="B94" s="7" t="s">
        <v>426</v>
      </c>
      <c r="C94" s="10" t="str">
        <f aca="false">VLOOKUP(B94,Compounds!$A$3:$B$152,2,FALSE())</f>
        <v>Entangled Matrix</v>
      </c>
      <c r="D94" s="7" t="s">
        <v>438</v>
      </c>
      <c r="E94" s="10" t="str">
        <f aca="false">VLOOKUP(D94,Compounds!$A$3:$B$152,2,FALSE())</f>
        <v>Quantum Foam Stabilizate</v>
      </c>
      <c r="F94" s="7" t="s">
        <v>885</v>
      </c>
      <c r="G94" s="5" t="n">
        <v>786000</v>
      </c>
      <c r="H94" s="13" t="n">
        <f aca="false">G94*3</f>
        <v>2358000</v>
      </c>
      <c r="I94" s="13" t="n">
        <f aca="false">G94*0.25</f>
        <v>196500</v>
      </c>
    </row>
    <row r="95" customFormat="false" ht="15" hidden="false" customHeight="true" outlineLevel="0" collapsed="false">
      <c r="A95" s="3" t="s">
        <v>886</v>
      </c>
      <c r="B95" s="7" t="s">
        <v>426</v>
      </c>
      <c r="C95" s="10" t="str">
        <f aca="false">VLOOKUP(B95,Compounds!$A$3:$B$152,2,FALSE())</f>
        <v>Entangled Matrix</v>
      </c>
      <c r="D95" s="7" t="s">
        <v>440</v>
      </c>
      <c r="E95" s="10" t="str">
        <f aca="false">VLOOKUP(D95,Compounds!$A$3:$B$152,2,FALSE())</f>
        <v>Picoscale Architect</v>
      </c>
      <c r="F95" s="7" t="s">
        <v>887</v>
      </c>
      <c r="G95" s="5" t="n">
        <v>651000</v>
      </c>
      <c r="H95" s="13" t="n">
        <f aca="false">G95*3</f>
        <v>1953000</v>
      </c>
      <c r="I95" s="13" t="n">
        <f aca="false">G95*0.25</f>
        <v>162750</v>
      </c>
    </row>
    <row r="96" customFormat="false" ht="15" hidden="false" customHeight="true" outlineLevel="0" collapsed="false">
      <c r="A96" s="3" t="s">
        <v>888</v>
      </c>
      <c r="B96" s="7" t="s">
        <v>428</v>
      </c>
      <c r="C96" s="10" t="str">
        <f aca="false">VLOOKUP(B96,Compounds!$A$3:$B$152,2,FALSE())</f>
        <v>Femtosecond Glass</v>
      </c>
      <c r="D96" s="7" t="s">
        <v>428</v>
      </c>
      <c r="E96" s="10" t="str">
        <f aca="false">VLOOKUP(D96,Compounds!$A$3:$B$152,2,FALSE())</f>
        <v>Femtosecond Glass</v>
      </c>
      <c r="F96" s="7" t="s">
        <v>889</v>
      </c>
      <c r="G96" s="5" t="n">
        <v>757000</v>
      </c>
      <c r="H96" s="13" t="n">
        <f aca="false">G96*3</f>
        <v>2271000</v>
      </c>
      <c r="I96" s="13" t="n">
        <f aca="false">G96*0.25</f>
        <v>189250</v>
      </c>
    </row>
    <row r="97" customFormat="false" ht="15" hidden="false" customHeight="true" outlineLevel="0" collapsed="false">
      <c r="A97" s="3" t="s">
        <v>890</v>
      </c>
      <c r="B97" s="7" t="s">
        <v>428</v>
      </c>
      <c r="C97" s="10" t="str">
        <f aca="false">VLOOKUP(B97,Compounds!$A$3:$B$152,2,FALSE())</f>
        <v>Femtosecond Glass</v>
      </c>
      <c r="D97" s="7" t="s">
        <v>430</v>
      </c>
      <c r="E97" s="10" t="str">
        <f aca="false">VLOOKUP(D97,Compounds!$A$3:$B$152,2,FALSE())</f>
        <v>Degenerate Matter Pellet</v>
      </c>
      <c r="F97" s="7" t="s">
        <v>891</v>
      </c>
      <c r="G97" s="5" t="n">
        <v>639000</v>
      </c>
      <c r="H97" s="13" t="n">
        <f aca="false">G97*3</f>
        <v>1917000</v>
      </c>
      <c r="I97" s="13" t="n">
        <f aca="false">G97*0.25</f>
        <v>159750</v>
      </c>
    </row>
    <row r="98" customFormat="false" ht="15" hidden="false" customHeight="true" outlineLevel="0" collapsed="false">
      <c r="A98" s="3" t="s">
        <v>892</v>
      </c>
      <c r="B98" s="7" t="s">
        <v>428</v>
      </c>
      <c r="C98" s="10" t="str">
        <f aca="false">VLOOKUP(B98,Compounds!$A$3:$B$152,2,FALSE())</f>
        <v>Femtosecond Glass</v>
      </c>
      <c r="D98" s="7" t="s">
        <v>432</v>
      </c>
      <c r="E98" s="10" t="str">
        <f aca="false">VLOOKUP(D98,Compounds!$A$3:$B$152,2,FALSE())</f>
        <v>Hyperdense Ceramic</v>
      </c>
      <c r="F98" s="7" t="s">
        <v>893</v>
      </c>
      <c r="G98" s="5" t="n">
        <v>586000</v>
      </c>
      <c r="H98" s="13" t="n">
        <f aca="false">G98*3</f>
        <v>1758000</v>
      </c>
      <c r="I98" s="13" t="n">
        <f aca="false">G98*0.25</f>
        <v>146500</v>
      </c>
    </row>
    <row r="99" customFormat="false" ht="15" hidden="false" customHeight="true" outlineLevel="0" collapsed="false">
      <c r="A99" s="3" t="s">
        <v>894</v>
      </c>
      <c r="B99" s="7" t="s">
        <v>428</v>
      </c>
      <c r="C99" s="10" t="str">
        <f aca="false">VLOOKUP(B99,Compounds!$A$3:$B$152,2,FALSE())</f>
        <v>Femtosecond Glass</v>
      </c>
      <c r="D99" s="7" t="s">
        <v>434</v>
      </c>
      <c r="E99" s="10" t="str">
        <f aca="false">VLOOKUP(D99,Compounds!$A$3:$B$152,2,FALSE())</f>
        <v>Singularity Alloy</v>
      </c>
      <c r="F99" s="7" t="s">
        <v>895</v>
      </c>
      <c r="G99" s="5" t="n">
        <v>338000</v>
      </c>
      <c r="H99" s="13" t="n">
        <f aca="false">G99*3</f>
        <v>1014000</v>
      </c>
      <c r="I99" s="13" t="n">
        <f aca="false">G99*0.25</f>
        <v>84500</v>
      </c>
    </row>
    <row r="100" customFormat="false" ht="15" hidden="false" customHeight="true" outlineLevel="0" collapsed="false">
      <c r="A100" s="3" t="s">
        <v>896</v>
      </c>
      <c r="B100" s="7" t="s">
        <v>428</v>
      </c>
      <c r="C100" s="10" t="str">
        <f aca="false">VLOOKUP(B100,Compounds!$A$3:$B$152,2,FALSE())</f>
        <v>Femtosecond Glass</v>
      </c>
      <c r="D100" s="7" t="s">
        <v>436</v>
      </c>
      <c r="E100" s="10" t="str">
        <f aca="false">VLOOKUP(D100,Compounds!$A$3:$B$152,2,FALSE())</f>
        <v>Antiferric Compound</v>
      </c>
      <c r="F100" s="7" t="s">
        <v>897</v>
      </c>
      <c r="G100" s="5" t="n">
        <v>497000</v>
      </c>
      <c r="H100" s="13" t="n">
        <f aca="false">G100*3</f>
        <v>1491000</v>
      </c>
      <c r="I100" s="13" t="n">
        <f aca="false">G100*0.25</f>
        <v>124250</v>
      </c>
    </row>
    <row r="101" customFormat="false" ht="15" hidden="false" customHeight="true" outlineLevel="0" collapsed="false">
      <c r="A101" s="3" t="s">
        <v>898</v>
      </c>
      <c r="B101" s="7" t="s">
        <v>428</v>
      </c>
      <c r="C101" s="10" t="str">
        <f aca="false">VLOOKUP(B101,Compounds!$A$3:$B$152,2,FALSE())</f>
        <v>Femtosecond Glass</v>
      </c>
      <c r="D101" s="7" t="s">
        <v>438</v>
      </c>
      <c r="E101" s="10" t="str">
        <f aca="false">VLOOKUP(D101,Compounds!$A$3:$B$152,2,FALSE())</f>
        <v>Quantum Foam Stabilizate</v>
      </c>
      <c r="F101" s="7" t="s">
        <v>899</v>
      </c>
      <c r="G101" s="5" t="n">
        <v>756000</v>
      </c>
      <c r="H101" s="13" t="n">
        <f aca="false">G101*3</f>
        <v>2268000</v>
      </c>
      <c r="I101" s="13" t="n">
        <f aca="false">G101*0.25</f>
        <v>189000</v>
      </c>
    </row>
    <row r="102" customFormat="false" ht="15" hidden="false" customHeight="true" outlineLevel="0" collapsed="false">
      <c r="A102" s="3" t="s">
        <v>900</v>
      </c>
      <c r="B102" s="7" t="s">
        <v>428</v>
      </c>
      <c r="C102" s="10" t="str">
        <f aca="false">VLOOKUP(B102,Compounds!$A$3:$B$152,2,FALSE())</f>
        <v>Femtosecond Glass</v>
      </c>
      <c r="D102" s="7" t="s">
        <v>440</v>
      </c>
      <c r="E102" s="10" t="str">
        <f aca="false">VLOOKUP(D102,Compounds!$A$3:$B$152,2,FALSE())</f>
        <v>Picoscale Architect</v>
      </c>
      <c r="F102" s="7" t="s">
        <v>901</v>
      </c>
      <c r="G102" s="5" t="n">
        <v>450000</v>
      </c>
      <c r="H102" s="13" t="n">
        <f aca="false">G102*3</f>
        <v>1350000</v>
      </c>
      <c r="I102" s="13" t="n">
        <f aca="false">G102*0.25</f>
        <v>112500</v>
      </c>
    </row>
    <row r="103" customFormat="false" ht="15" hidden="false" customHeight="true" outlineLevel="0" collapsed="false">
      <c r="A103" s="3" t="s">
        <v>902</v>
      </c>
      <c r="B103" s="7" t="s">
        <v>430</v>
      </c>
      <c r="C103" s="10" t="str">
        <f aca="false">VLOOKUP(B103,Compounds!$A$3:$B$152,2,FALSE())</f>
        <v>Degenerate Matter Pellet</v>
      </c>
      <c r="D103" s="7" t="s">
        <v>430</v>
      </c>
      <c r="E103" s="10" t="str">
        <f aca="false">VLOOKUP(D103,Compounds!$A$3:$B$152,2,FALSE())</f>
        <v>Degenerate Matter Pellet</v>
      </c>
      <c r="F103" s="7" t="s">
        <v>903</v>
      </c>
      <c r="G103" s="5" t="n">
        <v>360000</v>
      </c>
      <c r="H103" s="13" t="n">
        <f aca="false">G103*3</f>
        <v>1080000</v>
      </c>
      <c r="I103" s="13" t="n">
        <f aca="false">G103*0.25</f>
        <v>90000</v>
      </c>
    </row>
    <row r="104" customFormat="false" ht="15" hidden="false" customHeight="true" outlineLevel="0" collapsed="false">
      <c r="A104" s="3" t="s">
        <v>904</v>
      </c>
      <c r="B104" s="7" t="s">
        <v>430</v>
      </c>
      <c r="C104" s="10" t="str">
        <f aca="false">VLOOKUP(B104,Compounds!$A$3:$B$152,2,FALSE())</f>
        <v>Degenerate Matter Pellet</v>
      </c>
      <c r="D104" s="7" t="s">
        <v>432</v>
      </c>
      <c r="E104" s="10" t="str">
        <f aca="false">VLOOKUP(D104,Compounds!$A$3:$B$152,2,FALSE())</f>
        <v>Hyperdense Ceramic</v>
      </c>
      <c r="F104" s="7" t="s">
        <v>905</v>
      </c>
      <c r="G104" s="5" t="n">
        <v>639000</v>
      </c>
      <c r="H104" s="13" t="n">
        <f aca="false">G104*3</f>
        <v>1917000</v>
      </c>
      <c r="I104" s="13" t="n">
        <f aca="false">G104*0.25</f>
        <v>159750</v>
      </c>
    </row>
    <row r="105" customFormat="false" ht="15" hidden="false" customHeight="true" outlineLevel="0" collapsed="false">
      <c r="A105" s="3" t="s">
        <v>906</v>
      </c>
      <c r="B105" s="7" t="s">
        <v>430</v>
      </c>
      <c r="C105" s="10" t="str">
        <f aca="false">VLOOKUP(B105,Compounds!$A$3:$B$152,2,FALSE())</f>
        <v>Degenerate Matter Pellet</v>
      </c>
      <c r="D105" s="7" t="s">
        <v>434</v>
      </c>
      <c r="E105" s="10" t="str">
        <f aca="false">VLOOKUP(D105,Compounds!$A$3:$B$152,2,FALSE())</f>
        <v>Singularity Alloy</v>
      </c>
      <c r="F105" s="7" t="s">
        <v>907</v>
      </c>
      <c r="G105" s="5" t="n">
        <v>615000</v>
      </c>
      <c r="H105" s="13" t="n">
        <f aca="false">G105*3</f>
        <v>1845000</v>
      </c>
      <c r="I105" s="13" t="n">
        <f aca="false">G105*0.25</f>
        <v>153750</v>
      </c>
    </row>
    <row r="106" customFormat="false" ht="15" hidden="false" customHeight="true" outlineLevel="0" collapsed="false">
      <c r="A106" s="3" t="s">
        <v>908</v>
      </c>
      <c r="B106" s="7" t="s">
        <v>430</v>
      </c>
      <c r="C106" s="10" t="str">
        <f aca="false">VLOOKUP(B106,Compounds!$A$3:$B$152,2,FALSE())</f>
        <v>Degenerate Matter Pellet</v>
      </c>
      <c r="D106" s="7" t="s">
        <v>436</v>
      </c>
      <c r="E106" s="10" t="str">
        <f aca="false">VLOOKUP(D106,Compounds!$A$3:$B$152,2,FALSE())</f>
        <v>Antiferric Compound</v>
      </c>
      <c r="F106" s="7" t="s">
        <v>909</v>
      </c>
      <c r="G106" s="5" t="n">
        <v>369000</v>
      </c>
      <c r="H106" s="13" t="n">
        <f aca="false">G106*3</f>
        <v>1107000</v>
      </c>
      <c r="I106" s="13" t="n">
        <f aca="false">G106*0.25</f>
        <v>92250</v>
      </c>
    </row>
    <row r="107" customFormat="false" ht="15" hidden="false" customHeight="true" outlineLevel="0" collapsed="false">
      <c r="A107" s="3" t="s">
        <v>910</v>
      </c>
      <c r="B107" s="7" t="s">
        <v>430</v>
      </c>
      <c r="C107" s="10" t="str">
        <f aca="false">VLOOKUP(B107,Compounds!$A$3:$B$152,2,FALSE())</f>
        <v>Degenerate Matter Pellet</v>
      </c>
      <c r="D107" s="7" t="s">
        <v>438</v>
      </c>
      <c r="E107" s="10" t="str">
        <f aca="false">VLOOKUP(D107,Compounds!$A$3:$B$152,2,FALSE())</f>
        <v>Quantum Foam Stabilizate</v>
      </c>
      <c r="F107" s="7" t="s">
        <v>911</v>
      </c>
      <c r="G107" s="5" t="n">
        <v>356000</v>
      </c>
      <c r="H107" s="13" t="n">
        <f aca="false">G107*3</f>
        <v>1068000</v>
      </c>
      <c r="I107" s="13" t="n">
        <f aca="false">G107*0.25</f>
        <v>89000</v>
      </c>
    </row>
    <row r="108" customFormat="false" ht="15" hidden="false" customHeight="true" outlineLevel="0" collapsed="false">
      <c r="A108" s="3" t="s">
        <v>912</v>
      </c>
      <c r="B108" s="7" t="s">
        <v>430</v>
      </c>
      <c r="C108" s="10" t="str">
        <f aca="false">VLOOKUP(B108,Compounds!$A$3:$B$152,2,FALSE())</f>
        <v>Degenerate Matter Pellet</v>
      </c>
      <c r="D108" s="7" t="s">
        <v>440</v>
      </c>
      <c r="E108" s="10" t="str">
        <f aca="false">VLOOKUP(D108,Compounds!$A$3:$B$152,2,FALSE())</f>
        <v>Picoscale Architect</v>
      </c>
      <c r="F108" s="7" t="s">
        <v>913</v>
      </c>
      <c r="G108" s="5" t="n">
        <v>646000</v>
      </c>
      <c r="H108" s="13" t="n">
        <f aca="false">G108*3</f>
        <v>1938000</v>
      </c>
      <c r="I108" s="13" t="n">
        <f aca="false">G108*0.25</f>
        <v>161500</v>
      </c>
    </row>
    <row r="109" customFormat="false" ht="15" hidden="false" customHeight="true" outlineLevel="0" collapsed="false">
      <c r="A109" s="3" t="s">
        <v>914</v>
      </c>
      <c r="B109" s="7" t="s">
        <v>432</v>
      </c>
      <c r="C109" s="10" t="str">
        <f aca="false">VLOOKUP(B109,Compounds!$A$3:$B$152,2,FALSE())</f>
        <v>Hyperdense Ceramic</v>
      </c>
      <c r="D109" s="7" t="s">
        <v>432</v>
      </c>
      <c r="E109" s="10" t="str">
        <f aca="false">VLOOKUP(D109,Compounds!$A$3:$B$152,2,FALSE())</f>
        <v>Hyperdense Ceramic</v>
      </c>
      <c r="F109" s="7" t="s">
        <v>915</v>
      </c>
      <c r="G109" s="5" t="n">
        <v>517000</v>
      </c>
      <c r="H109" s="13" t="n">
        <f aca="false">G109*3</f>
        <v>1551000</v>
      </c>
      <c r="I109" s="13" t="n">
        <f aca="false">G109*0.25</f>
        <v>129250</v>
      </c>
    </row>
    <row r="110" customFormat="false" ht="15" hidden="false" customHeight="true" outlineLevel="0" collapsed="false">
      <c r="A110" s="3" t="s">
        <v>916</v>
      </c>
      <c r="B110" s="7" t="s">
        <v>432</v>
      </c>
      <c r="C110" s="10" t="str">
        <f aca="false">VLOOKUP(B110,Compounds!$A$3:$B$152,2,FALSE())</f>
        <v>Hyperdense Ceramic</v>
      </c>
      <c r="D110" s="7" t="s">
        <v>434</v>
      </c>
      <c r="E110" s="10" t="str">
        <f aca="false">VLOOKUP(D110,Compounds!$A$3:$B$152,2,FALSE())</f>
        <v>Singularity Alloy</v>
      </c>
      <c r="F110" s="7" t="s">
        <v>917</v>
      </c>
      <c r="G110" s="5" t="n">
        <v>791000</v>
      </c>
      <c r="H110" s="13" t="n">
        <f aca="false">G110*3</f>
        <v>2373000</v>
      </c>
      <c r="I110" s="13" t="n">
        <f aca="false">G110*0.25</f>
        <v>197750</v>
      </c>
    </row>
    <row r="111" customFormat="false" ht="15" hidden="false" customHeight="true" outlineLevel="0" collapsed="false">
      <c r="A111" s="3" t="s">
        <v>918</v>
      </c>
      <c r="B111" s="7" t="s">
        <v>432</v>
      </c>
      <c r="C111" s="10" t="str">
        <f aca="false">VLOOKUP(B111,Compounds!$A$3:$B$152,2,FALSE())</f>
        <v>Hyperdense Ceramic</v>
      </c>
      <c r="D111" s="7" t="s">
        <v>436</v>
      </c>
      <c r="E111" s="10" t="str">
        <f aca="false">VLOOKUP(D111,Compounds!$A$3:$B$152,2,FALSE())</f>
        <v>Antiferric Compound</v>
      </c>
      <c r="F111" s="7" t="s">
        <v>919</v>
      </c>
      <c r="G111" s="5" t="n">
        <v>748000</v>
      </c>
      <c r="H111" s="13" t="n">
        <f aca="false">G111*3</f>
        <v>2244000</v>
      </c>
      <c r="I111" s="13" t="n">
        <f aca="false">G111*0.25</f>
        <v>187000</v>
      </c>
    </row>
    <row r="112" customFormat="false" ht="15" hidden="false" customHeight="true" outlineLevel="0" collapsed="false">
      <c r="A112" s="3" t="s">
        <v>920</v>
      </c>
      <c r="B112" s="7" t="s">
        <v>432</v>
      </c>
      <c r="C112" s="10" t="str">
        <f aca="false">VLOOKUP(B112,Compounds!$A$3:$B$152,2,FALSE())</f>
        <v>Hyperdense Ceramic</v>
      </c>
      <c r="D112" s="7" t="s">
        <v>438</v>
      </c>
      <c r="E112" s="10" t="str">
        <f aca="false">VLOOKUP(D112,Compounds!$A$3:$B$152,2,FALSE())</f>
        <v>Quantum Foam Stabilizate</v>
      </c>
      <c r="F112" s="7" t="s">
        <v>921</v>
      </c>
      <c r="G112" s="5" t="n">
        <v>329000</v>
      </c>
      <c r="H112" s="13" t="n">
        <f aca="false">G112*3</f>
        <v>987000</v>
      </c>
      <c r="I112" s="13" t="n">
        <f aca="false">G112*0.25</f>
        <v>82250</v>
      </c>
    </row>
    <row r="113" customFormat="false" ht="15" hidden="false" customHeight="true" outlineLevel="0" collapsed="false">
      <c r="A113" s="3" t="s">
        <v>922</v>
      </c>
      <c r="B113" s="7" t="s">
        <v>432</v>
      </c>
      <c r="C113" s="10" t="str">
        <f aca="false">VLOOKUP(B113,Compounds!$A$3:$B$152,2,FALSE())</f>
        <v>Hyperdense Ceramic</v>
      </c>
      <c r="D113" s="7" t="s">
        <v>440</v>
      </c>
      <c r="E113" s="10" t="str">
        <f aca="false">VLOOKUP(D113,Compounds!$A$3:$B$152,2,FALSE())</f>
        <v>Picoscale Architect</v>
      </c>
      <c r="F113" s="7" t="s">
        <v>923</v>
      </c>
      <c r="G113" s="5" t="n">
        <v>785000</v>
      </c>
      <c r="H113" s="13" t="n">
        <f aca="false">G113*3</f>
        <v>2355000</v>
      </c>
      <c r="I113" s="13" t="n">
        <f aca="false">G113*0.25</f>
        <v>196250</v>
      </c>
    </row>
    <row r="114" customFormat="false" ht="15" hidden="false" customHeight="true" outlineLevel="0" collapsed="false">
      <c r="A114" s="3" t="s">
        <v>924</v>
      </c>
      <c r="B114" s="7" t="s">
        <v>434</v>
      </c>
      <c r="C114" s="10" t="str">
        <f aca="false">VLOOKUP(B114,Compounds!$A$3:$B$152,2,FALSE())</f>
        <v>Singularity Alloy</v>
      </c>
      <c r="D114" s="7" t="s">
        <v>434</v>
      </c>
      <c r="E114" s="10" t="str">
        <f aca="false">VLOOKUP(D114,Compounds!$A$3:$B$152,2,FALSE())</f>
        <v>Singularity Alloy</v>
      </c>
      <c r="F114" s="7" t="s">
        <v>925</v>
      </c>
      <c r="G114" s="5" t="n">
        <v>542000</v>
      </c>
      <c r="H114" s="13" t="n">
        <f aca="false">G114*3</f>
        <v>1626000</v>
      </c>
      <c r="I114" s="13" t="n">
        <f aca="false">G114*0.25</f>
        <v>135500</v>
      </c>
    </row>
    <row r="115" customFormat="false" ht="15" hidden="false" customHeight="true" outlineLevel="0" collapsed="false">
      <c r="A115" s="3" t="s">
        <v>926</v>
      </c>
      <c r="B115" s="7" t="s">
        <v>434</v>
      </c>
      <c r="C115" s="10" t="str">
        <f aca="false">VLOOKUP(B115,Compounds!$A$3:$B$152,2,FALSE())</f>
        <v>Singularity Alloy</v>
      </c>
      <c r="D115" s="7" t="s">
        <v>436</v>
      </c>
      <c r="E115" s="10" t="str">
        <f aca="false">VLOOKUP(D115,Compounds!$A$3:$B$152,2,FALSE())</f>
        <v>Antiferric Compound</v>
      </c>
      <c r="F115" s="7" t="s">
        <v>927</v>
      </c>
      <c r="G115" s="5" t="n">
        <v>627000</v>
      </c>
      <c r="H115" s="13" t="n">
        <f aca="false">G115*3</f>
        <v>1881000</v>
      </c>
      <c r="I115" s="13" t="n">
        <f aca="false">G115*0.25</f>
        <v>156750</v>
      </c>
    </row>
    <row r="116" customFormat="false" ht="15" hidden="false" customHeight="true" outlineLevel="0" collapsed="false">
      <c r="A116" s="3" t="s">
        <v>928</v>
      </c>
      <c r="B116" s="7" t="s">
        <v>434</v>
      </c>
      <c r="C116" s="10" t="str">
        <f aca="false">VLOOKUP(B116,Compounds!$A$3:$B$152,2,FALSE())</f>
        <v>Singularity Alloy</v>
      </c>
      <c r="D116" s="7" t="s">
        <v>438</v>
      </c>
      <c r="E116" s="10" t="str">
        <f aca="false">VLOOKUP(D116,Compounds!$A$3:$B$152,2,FALSE())</f>
        <v>Quantum Foam Stabilizate</v>
      </c>
      <c r="F116" s="7" t="s">
        <v>929</v>
      </c>
      <c r="G116" s="5" t="n">
        <v>455000</v>
      </c>
      <c r="H116" s="13" t="n">
        <f aca="false">G116*3</f>
        <v>1365000</v>
      </c>
      <c r="I116" s="13" t="n">
        <f aca="false">G116*0.25</f>
        <v>113750</v>
      </c>
    </row>
    <row r="117" customFormat="false" ht="15" hidden="false" customHeight="true" outlineLevel="0" collapsed="false">
      <c r="A117" s="3" t="s">
        <v>930</v>
      </c>
      <c r="B117" s="7" t="s">
        <v>434</v>
      </c>
      <c r="C117" s="10" t="str">
        <f aca="false">VLOOKUP(B117,Compounds!$A$3:$B$152,2,FALSE())</f>
        <v>Singularity Alloy</v>
      </c>
      <c r="D117" s="7" t="s">
        <v>440</v>
      </c>
      <c r="E117" s="10" t="str">
        <f aca="false">VLOOKUP(D117,Compounds!$A$3:$B$152,2,FALSE())</f>
        <v>Picoscale Architect</v>
      </c>
      <c r="F117" s="7" t="s">
        <v>931</v>
      </c>
      <c r="G117" s="5" t="n">
        <v>485000</v>
      </c>
      <c r="H117" s="13" t="n">
        <f aca="false">G117*3</f>
        <v>1455000</v>
      </c>
      <c r="I117" s="13" t="n">
        <f aca="false">G117*0.25</f>
        <v>121250</v>
      </c>
    </row>
    <row r="118" customFormat="false" ht="15" hidden="false" customHeight="true" outlineLevel="0" collapsed="false">
      <c r="A118" s="3" t="s">
        <v>932</v>
      </c>
      <c r="B118" s="7" t="s">
        <v>436</v>
      </c>
      <c r="C118" s="10" t="str">
        <f aca="false">VLOOKUP(B118,Compounds!$A$3:$B$152,2,FALSE())</f>
        <v>Antiferric Compound</v>
      </c>
      <c r="D118" s="7" t="s">
        <v>436</v>
      </c>
      <c r="E118" s="10" t="str">
        <f aca="false">VLOOKUP(D118,Compounds!$A$3:$B$152,2,FALSE())</f>
        <v>Antiferric Compound</v>
      </c>
      <c r="F118" s="7" t="s">
        <v>933</v>
      </c>
      <c r="G118" s="5" t="n">
        <v>464000</v>
      </c>
      <c r="H118" s="13" t="n">
        <f aca="false">G118*3</f>
        <v>1392000</v>
      </c>
      <c r="I118" s="13" t="n">
        <f aca="false">G118*0.25</f>
        <v>116000</v>
      </c>
    </row>
    <row r="119" customFormat="false" ht="15" hidden="false" customHeight="true" outlineLevel="0" collapsed="false">
      <c r="A119" s="3" t="s">
        <v>934</v>
      </c>
      <c r="B119" s="7" t="s">
        <v>436</v>
      </c>
      <c r="C119" s="10" t="str">
        <f aca="false">VLOOKUP(B119,Compounds!$A$3:$B$152,2,FALSE())</f>
        <v>Antiferric Compound</v>
      </c>
      <c r="D119" s="7" t="s">
        <v>438</v>
      </c>
      <c r="E119" s="10" t="str">
        <f aca="false">VLOOKUP(D119,Compounds!$A$3:$B$152,2,FALSE())</f>
        <v>Quantum Foam Stabilizate</v>
      </c>
      <c r="F119" s="7" t="s">
        <v>935</v>
      </c>
      <c r="G119" s="5" t="n">
        <v>505000</v>
      </c>
      <c r="H119" s="13" t="n">
        <f aca="false">G119*3</f>
        <v>1515000</v>
      </c>
      <c r="I119" s="13" t="n">
        <f aca="false">G119*0.25</f>
        <v>126250</v>
      </c>
    </row>
    <row r="120" customFormat="false" ht="15" hidden="false" customHeight="true" outlineLevel="0" collapsed="false">
      <c r="A120" s="3" t="s">
        <v>936</v>
      </c>
      <c r="B120" s="7" t="s">
        <v>436</v>
      </c>
      <c r="C120" s="10" t="str">
        <f aca="false">VLOOKUP(B120,Compounds!$A$3:$B$152,2,FALSE())</f>
        <v>Antiferric Compound</v>
      </c>
      <c r="D120" s="7" t="s">
        <v>440</v>
      </c>
      <c r="E120" s="10" t="str">
        <f aca="false">VLOOKUP(D120,Compounds!$A$3:$B$152,2,FALSE())</f>
        <v>Picoscale Architect</v>
      </c>
      <c r="F120" s="7" t="s">
        <v>937</v>
      </c>
      <c r="G120" s="5" t="n">
        <v>291000</v>
      </c>
      <c r="H120" s="13" t="n">
        <f aca="false">G120*3</f>
        <v>873000</v>
      </c>
      <c r="I120" s="13" t="n">
        <f aca="false">G120*0.25</f>
        <v>72750</v>
      </c>
    </row>
    <row r="121" customFormat="false" ht="15" hidden="false" customHeight="true" outlineLevel="0" collapsed="false">
      <c r="A121" s="3" t="s">
        <v>938</v>
      </c>
      <c r="B121" s="7" t="s">
        <v>438</v>
      </c>
      <c r="C121" s="10" t="str">
        <f aca="false">VLOOKUP(B121,Compounds!$A$3:$B$152,2,FALSE())</f>
        <v>Quantum Foam Stabilizate</v>
      </c>
      <c r="D121" s="7" t="s">
        <v>438</v>
      </c>
      <c r="E121" s="10" t="str">
        <f aca="false">VLOOKUP(D121,Compounds!$A$3:$B$152,2,FALSE())</f>
        <v>Quantum Foam Stabilizate</v>
      </c>
      <c r="F121" s="7" t="s">
        <v>939</v>
      </c>
      <c r="G121" s="5" t="n">
        <v>373000</v>
      </c>
      <c r="H121" s="13" t="n">
        <f aca="false">G121*3</f>
        <v>1119000</v>
      </c>
      <c r="I121" s="13" t="n">
        <f aca="false">G121*0.25</f>
        <v>93250</v>
      </c>
    </row>
    <row r="122" customFormat="false" ht="15" hidden="false" customHeight="true" outlineLevel="0" collapsed="false">
      <c r="A122" s="3" t="s">
        <v>940</v>
      </c>
      <c r="B122" s="7" t="s">
        <v>438</v>
      </c>
      <c r="C122" s="10" t="str">
        <f aca="false">VLOOKUP(B122,Compounds!$A$3:$B$152,2,FALSE())</f>
        <v>Quantum Foam Stabilizate</v>
      </c>
      <c r="D122" s="7" t="s">
        <v>440</v>
      </c>
      <c r="E122" s="10" t="str">
        <f aca="false">VLOOKUP(D122,Compounds!$A$3:$B$152,2,FALSE())</f>
        <v>Picoscale Architect</v>
      </c>
      <c r="F122" s="7" t="s">
        <v>941</v>
      </c>
      <c r="G122" s="5" t="n">
        <v>342000</v>
      </c>
      <c r="H122" s="13" t="n">
        <f aca="false">G122*3</f>
        <v>1026000</v>
      </c>
      <c r="I122" s="13" t="n">
        <f aca="false">G122*0.25</f>
        <v>85500</v>
      </c>
    </row>
    <row r="123" customFormat="false" ht="15" hidden="false" customHeight="true" outlineLevel="0" collapsed="false">
      <c r="A123" s="3" t="s">
        <v>942</v>
      </c>
      <c r="B123" s="7" t="s">
        <v>440</v>
      </c>
      <c r="C123" s="10" t="str">
        <f aca="false">VLOOKUP(B123,Compounds!$A$3:$B$152,2,FALSE())</f>
        <v>Picoscale Architect</v>
      </c>
      <c r="D123" s="7" t="s">
        <v>440</v>
      </c>
      <c r="E123" s="10" t="str">
        <f aca="false">VLOOKUP(D123,Compounds!$A$3:$B$152,2,FALSE())</f>
        <v>Picoscale Architect</v>
      </c>
      <c r="F123" s="7" t="s">
        <v>943</v>
      </c>
      <c r="G123" s="5" t="n">
        <v>296000</v>
      </c>
      <c r="H123" s="13" t="n">
        <f aca="false">G123*3</f>
        <v>888000</v>
      </c>
      <c r="I123" s="13" t="n">
        <f aca="false">G123*0.25</f>
        <v>74000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3" min="3" style="1" width="7"/>
    <col collapsed="false" customWidth="true" hidden="false" outlineLevel="0" max="5" min="4" style="1" width="11"/>
    <col collapsed="false" customWidth="true" hidden="false" outlineLevel="0" max="6" min="6" style="1" width="18"/>
    <col collapsed="false" customWidth="true" hidden="false" outlineLevel="0" max="7" min="7" style="1" width="9"/>
    <col collapsed="false" customWidth="true" hidden="false" outlineLevel="0" max="8" min="8" style="1" width="22"/>
    <col collapsed="false" customWidth="true" hidden="false" outlineLevel="0" max="9" min="9" style="1" width="9"/>
    <col collapsed="false" customWidth="true" hidden="false" outlineLevel="0" max="10" min="10" style="1" width="22"/>
  </cols>
  <sheetData>
    <row r="1" customFormat="false" ht="15" hidden="false" customHeight="true" outlineLevel="0" collapsed="false">
      <c r="A1" s="2" t="s">
        <v>944</v>
      </c>
    </row>
    <row r="2" customFormat="false" ht="26.25" hidden="false" customHeight="true" outlineLevel="0" collapsed="false">
      <c r="A2" s="4" t="s">
        <v>19</v>
      </c>
      <c r="B2" s="4" t="s">
        <v>20</v>
      </c>
      <c r="C2" s="4" t="s">
        <v>13</v>
      </c>
      <c r="D2" s="4" t="s">
        <v>24</v>
      </c>
      <c r="E2" s="4" t="s">
        <v>23</v>
      </c>
      <c r="F2" s="4" t="s">
        <v>945</v>
      </c>
      <c r="G2" s="4" t="s">
        <v>946</v>
      </c>
      <c r="H2" s="4" t="s">
        <v>448</v>
      </c>
      <c r="I2" s="4" t="s">
        <v>947</v>
      </c>
      <c r="J2" s="4" t="s">
        <v>450</v>
      </c>
    </row>
    <row r="3" customFormat="false" ht="15" hidden="false" customHeight="true" outlineLevel="0" collapsed="false">
      <c r="A3" s="3" t="s">
        <v>948</v>
      </c>
      <c r="B3" s="7" t="s">
        <v>949</v>
      </c>
      <c r="C3" s="5" t="n">
        <v>2</v>
      </c>
      <c r="D3" s="5" t="n">
        <v>12</v>
      </c>
      <c r="E3" s="5" t="n">
        <v>120</v>
      </c>
      <c r="F3" s="5" t="n">
        <v>50</v>
      </c>
      <c r="G3" s="7" t="s">
        <v>29</v>
      </c>
      <c r="H3" s="10" t="str">
        <f aca="false">VLOOKUP(G3,Compounds!$A$3:$B$152,2,FALSE())</f>
        <v>Sodium Chloride</v>
      </c>
      <c r="I3" s="7" t="s">
        <v>46</v>
      </c>
      <c r="J3" s="10" t="str">
        <f aca="false">VLOOKUP(I3,Compounds!$A$3:$B$152,2,FALSE())</f>
        <v>Potassium Iodide</v>
      </c>
    </row>
    <row r="4" customFormat="false" ht="15" hidden="false" customHeight="true" outlineLevel="0" collapsed="false">
      <c r="A4" s="3" t="s">
        <v>950</v>
      </c>
      <c r="B4" s="7" t="s">
        <v>951</v>
      </c>
      <c r="C4" s="5" t="n">
        <v>3</v>
      </c>
      <c r="D4" s="5" t="n">
        <v>45</v>
      </c>
      <c r="E4" s="5" t="n">
        <v>550</v>
      </c>
      <c r="F4" s="5" t="n">
        <v>300</v>
      </c>
      <c r="G4" s="7" t="s">
        <v>62</v>
      </c>
      <c r="H4" s="10" t="str">
        <f aca="false">VLOOKUP(G4,Compounds!$A$3:$B$152,2,FALSE())</f>
        <v>Titanium Dioxide</v>
      </c>
      <c r="I4" s="7" t="s">
        <v>148</v>
      </c>
      <c r="J4" s="10" t="str">
        <f aca="false">VLOOKUP(I4,Compounds!$A$3:$B$152,2,FALSE())</f>
        <v>Barium Titanate</v>
      </c>
    </row>
    <row r="5" customFormat="false" ht="15" hidden="false" customHeight="true" outlineLevel="0" collapsed="false">
      <c r="A5" s="3" t="s">
        <v>952</v>
      </c>
      <c r="B5" s="7" t="s">
        <v>953</v>
      </c>
      <c r="C5" s="5" t="n">
        <v>3</v>
      </c>
      <c r="D5" s="5" t="n">
        <v>45</v>
      </c>
      <c r="E5" s="5" t="n">
        <v>620</v>
      </c>
      <c r="F5" s="5" t="n">
        <v>300</v>
      </c>
      <c r="G5" s="7" t="s">
        <v>131</v>
      </c>
      <c r="H5" s="10" t="str">
        <f aca="false">VLOOKUP(G5,Compounds!$A$3:$B$152,2,FALSE())</f>
        <v>Calcium Silicate</v>
      </c>
      <c r="I5" s="7" t="s">
        <v>170</v>
      </c>
      <c r="J5" s="10" t="str">
        <f aca="false">VLOOKUP(I5,Compounds!$A$3:$B$152,2,FALSE())</f>
        <v>Potassium Silicate</v>
      </c>
    </row>
    <row r="6" customFormat="false" ht="15" hidden="false" customHeight="true" outlineLevel="0" collapsed="false">
      <c r="A6" s="3" t="s">
        <v>954</v>
      </c>
      <c r="B6" s="7" t="s">
        <v>955</v>
      </c>
      <c r="C6" s="5" t="n">
        <v>4</v>
      </c>
      <c r="D6" s="5" t="n">
        <v>180</v>
      </c>
      <c r="E6" s="5" t="n">
        <v>2800</v>
      </c>
      <c r="F6" s="5" t="n">
        <v>1200</v>
      </c>
      <c r="G6" s="7" t="s">
        <v>124</v>
      </c>
      <c r="H6" s="10" t="str">
        <f aca="false">VLOOKUP(G6,Compounds!$A$3:$B$152,2,FALSE())</f>
        <v>Zinc Titanate</v>
      </c>
      <c r="I6" s="7" t="s">
        <v>222</v>
      </c>
      <c r="J6" s="10" t="str">
        <f aca="false">VLOOKUP(I6,Compounds!$A$3:$B$152,2,FALSE())</f>
        <v>Titanium Aluminide</v>
      </c>
    </row>
    <row r="7" customFormat="false" ht="15" hidden="false" customHeight="true" outlineLevel="0" collapsed="false">
      <c r="A7" s="3" t="s">
        <v>956</v>
      </c>
      <c r="B7" s="7" t="s">
        <v>957</v>
      </c>
      <c r="C7" s="5" t="n">
        <v>4</v>
      </c>
      <c r="D7" s="5" t="n">
        <v>180</v>
      </c>
      <c r="E7" s="5" t="n">
        <v>3100</v>
      </c>
      <c r="F7" s="5" t="n">
        <v>1200</v>
      </c>
      <c r="G7" s="7" t="s">
        <v>214</v>
      </c>
      <c r="H7" s="10" t="str">
        <f aca="false">VLOOKUP(G7,Compounds!$A$3:$B$152,2,FALSE())</f>
        <v>Ferrochrome Alloy</v>
      </c>
      <c r="I7" s="7" t="s">
        <v>249</v>
      </c>
      <c r="J7" s="10" t="str">
        <f aca="false">VLOOKUP(I7,Compounds!$A$3:$B$152,2,FALSE())</f>
        <v>Chromium Silicide</v>
      </c>
    </row>
    <row r="8" customFormat="false" ht="15" hidden="false" customHeight="true" outlineLevel="0" collapsed="false">
      <c r="A8" s="3" t="s">
        <v>958</v>
      </c>
      <c r="B8" s="7" t="s">
        <v>959</v>
      </c>
      <c r="C8" s="5" t="n">
        <v>5</v>
      </c>
      <c r="D8" s="5" t="n">
        <v>480</v>
      </c>
      <c r="E8" s="5" t="n">
        <v>14000</v>
      </c>
      <c r="F8" s="5" t="n">
        <v>4000</v>
      </c>
      <c r="G8" s="7" t="s">
        <v>210</v>
      </c>
      <c r="H8" s="10" t="str">
        <f aca="false">VLOOKUP(G8,Compounds!$A$3:$B$152,2,FALSE())</f>
        <v>Borosilicate Glass</v>
      </c>
      <c r="I8" s="7" t="s">
        <v>312</v>
      </c>
      <c r="J8" s="10" t="str">
        <f aca="false">VLOOKUP(I8,Compounds!$A$3:$B$152,2,FALSE())</f>
        <v>Fused Silica Composite</v>
      </c>
    </row>
    <row r="9" customFormat="false" ht="15" hidden="false" customHeight="true" outlineLevel="0" collapsed="false">
      <c r="A9" s="3" t="s">
        <v>960</v>
      </c>
      <c r="B9" s="7" t="s">
        <v>961</v>
      </c>
      <c r="C9" s="5" t="n">
        <v>5</v>
      </c>
      <c r="D9" s="5" t="n">
        <v>480</v>
      </c>
      <c r="E9" s="5" t="n">
        <v>17000</v>
      </c>
      <c r="F9" s="5" t="n">
        <v>4000</v>
      </c>
      <c r="G9" s="7" t="s">
        <v>281</v>
      </c>
      <c r="H9" s="10" t="str">
        <f aca="false">VLOOKUP(G9,Compounds!$A$3:$B$152,2,FALSE())</f>
        <v>Nickel-Titanium Ingot</v>
      </c>
      <c r="I9" s="7" t="s">
        <v>333</v>
      </c>
      <c r="J9" s="10" t="str">
        <f aca="false">VLOOKUP(I9,Compounds!$A$3:$B$152,2,FALSE())</f>
        <v>Shape-Memory Nitinol</v>
      </c>
    </row>
    <row r="11" customFormat="false" ht="26.25" hidden="false" customHeight="true" outlineLevel="0" collapsed="false">
      <c r="A11" s="14" t="s">
        <v>962</v>
      </c>
      <c r="B11" s="14"/>
      <c r="C11" s="14"/>
      <c r="D11" s="14"/>
      <c r="E11" s="14"/>
      <c r="F11" s="14"/>
      <c r="G11" s="14"/>
      <c r="H11" s="14"/>
      <c r="I11" s="14"/>
      <c r="J11" s="14"/>
    </row>
  </sheetData>
  <mergeCells count="1">
    <mergeCell ref="A11:J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0"/>
    <col collapsed="false" customWidth="true" hidden="false" outlineLevel="0" max="3" min="2" style="1" width="13"/>
    <col collapsed="false" customWidth="true" hidden="false" outlineLevel="0" max="4" min="4" style="1" width="10"/>
  </cols>
  <sheetData>
    <row r="1" customFormat="false" ht="15" hidden="false" customHeight="true" outlineLevel="0" collapsed="false">
      <c r="A1" s="2" t="s">
        <v>963</v>
      </c>
    </row>
    <row r="3" customFormat="false" ht="15" hidden="false" customHeight="true" outlineLevel="0" collapsed="false">
      <c r="A3" s="4" t="s">
        <v>964</v>
      </c>
      <c r="B3" s="4" t="s">
        <v>965</v>
      </c>
      <c r="C3" s="4" t="s">
        <v>966</v>
      </c>
      <c r="D3" s="4" t="s">
        <v>967</v>
      </c>
    </row>
    <row r="4" customFormat="false" ht="15" hidden="false" customHeight="true" outlineLevel="0" collapsed="false">
      <c r="A4" s="3" t="s">
        <v>968</v>
      </c>
      <c r="B4" s="5" t="n">
        <v>30</v>
      </c>
      <c r="C4" s="8" t="n">
        <f aca="false">COUNTIF(Compounds!$C$3:$C$152,1)</f>
        <v>30</v>
      </c>
      <c r="D4" s="3" t="str">
        <f aca="false">IF(C4=B4,"PASS","FAIL")</f>
        <v>PASS</v>
      </c>
    </row>
    <row r="5" customFormat="false" ht="15" hidden="false" customHeight="true" outlineLevel="0" collapsed="false">
      <c r="A5" s="3" t="s">
        <v>969</v>
      </c>
      <c r="B5" s="5" t="n">
        <v>30</v>
      </c>
      <c r="C5" s="8" t="n">
        <f aca="false">COUNTIF(Compounds!$C$3:$C$152,2)</f>
        <v>30</v>
      </c>
      <c r="D5" s="3" t="str">
        <f aca="false">IF(C5=B5,"PASS","FAIL")</f>
        <v>PASS</v>
      </c>
    </row>
    <row r="6" customFormat="false" ht="15" hidden="false" customHeight="true" outlineLevel="0" collapsed="false">
      <c r="A6" s="3" t="s">
        <v>970</v>
      </c>
      <c r="B6" s="5" t="n">
        <v>30</v>
      </c>
      <c r="C6" s="8" t="n">
        <f aca="false">COUNTIF(Compounds!$C$3:$C$152,3)</f>
        <v>30</v>
      </c>
      <c r="D6" s="3" t="str">
        <f aca="false">IF(C6=B6,"PASS","FAIL")</f>
        <v>PASS</v>
      </c>
    </row>
    <row r="7" customFormat="false" ht="15" hidden="false" customHeight="true" outlineLevel="0" collapsed="false">
      <c r="A7" s="3" t="s">
        <v>971</v>
      </c>
      <c r="B7" s="5" t="n">
        <v>25</v>
      </c>
      <c r="C7" s="8" t="n">
        <f aca="false">COUNTIF(Compounds!$C$3:$C$152,4)</f>
        <v>25</v>
      </c>
      <c r="D7" s="3" t="str">
        <f aca="false">IF(C7=B7,"PASS","FAIL")</f>
        <v>PASS</v>
      </c>
    </row>
    <row r="8" customFormat="false" ht="15" hidden="false" customHeight="true" outlineLevel="0" collapsed="false">
      <c r="A8" s="3" t="s">
        <v>972</v>
      </c>
      <c r="B8" s="5" t="n">
        <v>20</v>
      </c>
      <c r="C8" s="8" t="n">
        <f aca="false">COUNTIF(Compounds!$C$3:$C$152,5)</f>
        <v>20</v>
      </c>
      <c r="D8" s="3" t="str">
        <f aca="false">IF(C8=B8,"PASS","FAIL")</f>
        <v>PASS</v>
      </c>
    </row>
    <row r="9" customFormat="false" ht="15" hidden="false" customHeight="true" outlineLevel="0" collapsed="false">
      <c r="A9" s="3" t="s">
        <v>973</v>
      </c>
      <c r="B9" s="5" t="n">
        <v>15</v>
      </c>
      <c r="C9" s="8" t="n">
        <f aca="false">COUNTIF(Compounds!$C$3:$C$152,6)</f>
        <v>15</v>
      </c>
      <c r="D9" s="3" t="str">
        <f aca="false">IF(C9=B9,"PASS","FAIL")</f>
        <v>PASS</v>
      </c>
    </row>
    <row r="10" customFormat="false" ht="15" hidden="false" customHeight="true" outlineLevel="0" collapsed="false">
      <c r="A10" s="3" t="s">
        <v>974</v>
      </c>
      <c r="B10" s="5" t="n">
        <v>25</v>
      </c>
      <c r="C10" s="8" t="n">
        <f aca="false">COUNTIF(Recipes!$D$3:$D$207,1)</f>
        <v>25</v>
      </c>
      <c r="D10" s="3" t="str">
        <f aca="false">IF(C10=B10,"PASS","FAIL")</f>
        <v>PASS</v>
      </c>
    </row>
    <row r="11" customFormat="false" ht="15" hidden="false" customHeight="true" outlineLevel="0" collapsed="false">
      <c r="A11" s="3" t="s">
        <v>975</v>
      </c>
      <c r="B11" s="5" t="n">
        <v>40</v>
      </c>
      <c r="C11" s="8" t="n">
        <f aca="false">COUNTIF(Recipes!$D$3:$D$207,2)</f>
        <v>40</v>
      </c>
      <c r="D11" s="3" t="str">
        <f aca="false">IF(C11=B11,"PASS","FAIL")</f>
        <v>PASS</v>
      </c>
    </row>
    <row r="12" customFormat="false" ht="15" hidden="false" customHeight="true" outlineLevel="0" collapsed="false">
      <c r="A12" s="3" t="s">
        <v>976</v>
      </c>
      <c r="B12" s="5" t="n">
        <v>50</v>
      </c>
      <c r="C12" s="8" t="n">
        <f aca="false">COUNTIF(Recipes!$D$3:$D$207,3)</f>
        <v>50</v>
      </c>
      <c r="D12" s="3" t="str">
        <f aca="false">IF(C12=B12,"PASS","FAIL")</f>
        <v>PASS</v>
      </c>
    </row>
    <row r="13" customFormat="false" ht="15" hidden="false" customHeight="true" outlineLevel="0" collapsed="false">
      <c r="A13" s="3" t="s">
        <v>977</v>
      </c>
      <c r="B13" s="5" t="n">
        <v>45</v>
      </c>
      <c r="C13" s="8" t="n">
        <f aca="false">COUNTIF(Recipes!$D$3:$D$207,4)</f>
        <v>45</v>
      </c>
      <c r="D13" s="3" t="str">
        <f aca="false">IF(C13=B13,"PASS","FAIL")</f>
        <v>PASS</v>
      </c>
    </row>
    <row r="14" customFormat="false" ht="15" hidden="false" customHeight="true" outlineLevel="0" collapsed="false">
      <c r="A14" s="3" t="s">
        <v>978</v>
      </c>
      <c r="B14" s="5" t="n">
        <v>30</v>
      </c>
      <c r="C14" s="8" t="n">
        <f aca="false">COUNTIF(Recipes!$D$3:$D$207,5)</f>
        <v>30</v>
      </c>
      <c r="D14" s="3" t="str">
        <f aca="false">IF(C14=B14,"PASS","FAIL")</f>
        <v>PASS</v>
      </c>
    </row>
    <row r="15" customFormat="false" ht="15" hidden="false" customHeight="true" outlineLevel="0" collapsed="false">
      <c r="A15" s="3" t="s">
        <v>979</v>
      </c>
      <c r="B15" s="5" t="n">
        <v>15</v>
      </c>
      <c r="C15" s="8" t="n">
        <f aca="false">COUNTIF(Recipes!$D$3:$D$207,6)</f>
        <v>15</v>
      </c>
      <c r="D15" s="3" t="str">
        <f aca="false">IF(C15=B15,"PASS","FAIL")</f>
        <v>PASS</v>
      </c>
    </row>
    <row r="16" customFormat="false" ht="15" hidden="false" customHeight="true" outlineLevel="0" collapsed="false">
      <c r="A16" s="3" t="s">
        <v>980</v>
      </c>
      <c r="B16" s="5" t="n">
        <v>205</v>
      </c>
      <c r="C16" s="8" t="n">
        <f aca="false">COUNTA(Recipes!$A$3:$A$207)</f>
        <v>205</v>
      </c>
      <c r="D16" s="3" t="str">
        <f aca="false">IF(C16=B16,"PASS","FAIL")</f>
        <v>PASS</v>
      </c>
    </row>
    <row r="17" customFormat="false" ht="15" hidden="false" customHeight="true" outlineLevel="0" collapsed="false">
      <c r="A17" s="3" t="s">
        <v>981</v>
      </c>
      <c r="B17" s="5" t="n">
        <v>30</v>
      </c>
      <c r="C17" s="8" t="n">
        <f aca="false">COUNTIF(Recipes!$K$3:$K$207,"T1+T2-&gt;T3")</f>
        <v>30</v>
      </c>
      <c r="D17" s="3" t="str">
        <f aca="false">IF(C17=B17,"PASS","FAIL")</f>
        <v>PASS</v>
      </c>
    </row>
    <row r="18" customFormat="false" ht="15" hidden="false" customHeight="true" outlineLevel="0" collapsed="false">
      <c r="A18" s="3" t="s">
        <v>982</v>
      </c>
      <c r="B18" s="5" t="n">
        <v>20</v>
      </c>
      <c r="C18" s="8" t="n">
        <f aca="false">COUNTIF(Recipes!$K$3:$K$207,"T2+T2-&gt;T3")</f>
        <v>20</v>
      </c>
      <c r="D18" s="3" t="str">
        <f aca="false">IF(C18=B18,"PASS","FAIL")</f>
        <v>PASS</v>
      </c>
    </row>
    <row r="19" customFormat="false" ht="15" hidden="false" customHeight="true" outlineLevel="0" collapsed="false">
      <c r="A19" s="3" t="s">
        <v>983</v>
      </c>
      <c r="B19" s="5" t="n">
        <v>27</v>
      </c>
      <c r="C19" s="8" t="n">
        <f aca="false">COUNTIF(Recipes!$K$3:$K$207,"T2+T3-&gt;T4")</f>
        <v>27</v>
      </c>
      <c r="D19" s="3" t="str">
        <f aca="false">IF(C19=B19,"PASS","FAIL")</f>
        <v>PASS</v>
      </c>
    </row>
    <row r="20" customFormat="false" ht="15" hidden="false" customHeight="true" outlineLevel="0" collapsed="false">
      <c r="A20" s="3" t="s">
        <v>984</v>
      </c>
      <c r="B20" s="5" t="n">
        <v>18</v>
      </c>
      <c r="C20" s="8" t="n">
        <f aca="false">COUNTIF(Recipes!$K$3:$K$207,"T3+T3-&gt;T4")</f>
        <v>18</v>
      </c>
      <c r="D20" s="3" t="str">
        <f aca="false">IF(C20=B20,"PASS","FAIL")</f>
        <v>PASS</v>
      </c>
    </row>
    <row r="21" customFormat="false" ht="15" hidden="false" customHeight="true" outlineLevel="0" collapsed="false">
      <c r="A21" s="3" t="s">
        <v>985</v>
      </c>
      <c r="B21" s="5" t="n">
        <v>30</v>
      </c>
      <c r="C21" s="8" t="n">
        <f aca="false">COUNTIF(Recipes!$K$3:$K$207,"T3+T4-&gt;T5")</f>
        <v>30</v>
      </c>
      <c r="D21" s="3" t="str">
        <f aca="false">IF(C21=B21,"PASS","FAIL")</f>
        <v>PASS</v>
      </c>
    </row>
    <row r="22" customFormat="false" ht="15" hidden="false" customHeight="true" outlineLevel="0" collapsed="false">
      <c r="A22" s="3" t="s">
        <v>986</v>
      </c>
      <c r="B22" s="5" t="n">
        <v>17</v>
      </c>
      <c r="C22" s="8" t="n">
        <f aca="false">COUNTIF(Recipes!$I$3:$I$207,"variable-alternate")</f>
        <v>17</v>
      </c>
      <c r="D22" s="3" t="str">
        <f aca="false">IF(C22=B22,"PASS","FAIL")</f>
        <v>PASS</v>
      </c>
    </row>
    <row r="23" customFormat="false" ht="15" hidden="false" customHeight="true" outlineLevel="0" collapsed="false">
      <c r="A23" s="3" t="s">
        <v>987</v>
      </c>
      <c r="B23" s="5" t="n">
        <v>120</v>
      </c>
      <c r="C23" s="8" t="n">
        <f aca="false">COUNTA(Exotics!$A$4:$A$123)</f>
        <v>120</v>
      </c>
      <c r="D23" s="3" t="str">
        <f aca="false">IF(C23=B23,"PASS","FAIL")</f>
        <v>PASS</v>
      </c>
    </row>
    <row r="24" customFormat="false" ht="15" hidden="false" customHeight="true" outlineLevel="0" collapsed="false">
      <c r="A24" s="3" t="s">
        <v>988</v>
      </c>
      <c r="B24" s="7" t="s">
        <v>989</v>
      </c>
      <c r="C24" s="15" t="b">
        <f aca="false">AND(MIN(Compounds!$F$3:$F$32)&gt;=Tier_Constants!D3,MAX(Compounds!$F$3:$F$32)&lt;=Tier_Constants!E3)</f>
        <v>1</v>
      </c>
      <c r="D24" s="3" t="str">
        <f aca="false">IF(C24=TRUE(),"PASS","FAIL")</f>
        <v>PASS</v>
      </c>
    </row>
    <row r="25" customFormat="false" ht="15" hidden="false" customHeight="true" outlineLevel="0" collapsed="false">
      <c r="A25" s="3" t="s">
        <v>990</v>
      </c>
      <c r="B25" s="7" t="s">
        <v>989</v>
      </c>
      <c r="C25" s="15" t="b">
        <f aca="false">AND(MIN(Compounds!$F$33:$F$62)&gt;=Tier_Constants!D4,MAX(Compounds!$F$33:$F$62)&lt;=Tier_Constants!E4)</f>
        <v>1</v>
      </c>
      <c r="D25" s="3" t="str">
        <f aca="false">IF(C25=TRUE(),"PASS","FAIL")</f>
        <v>PASS</v>
      </c>
    </row>
    <row r="26" customFormat="false" ht="15" hidden="false" customHeight="true" outlineLevel="0" collapsed="false">
      <c r="A26" s="3" t="s">
        <v>991</v>
      </c>
      <c r="B26" s="7" t="s">
        <v>989</v>
      </c>
      <c r="C26" s="15" t="b">
        <f aca="false">AND(MIN(Compounds!$F$63:$F$92)&gt;=Tier_Constants!D5,MAX(Compounds!$F$63:$F$92)&lt;=Tier_Constants!E5)</f>
        <v>1</v>
      </c>
      <c r="D26" s="3" t="str">
        <f aca="false">IF(C26=TRUE(),"PASS","FAIL")</f>
        <v>PASS</v>
      </c>
    </row>
    <row r="27" customFormat="false" ht="15" hidden="false" customHeight="true" outlineLevel="0" collapsed="false">
      <c r="A27" s="3" t="s">
        <v>992</v>
      </c>
      <c r="B27" s="7" t="s">
        <v>989</v>
      </c>
      <c r="C27" s="15" t="b">
        <f aca="false">AND(MIN(Compounds!$F$93:$F$117)&gt;=Tier_Constants!D6,MAX(Compounds!$F$93:$F$117)&lt;=Tier_Constants!E6)</f>
        <v>1</v>
      </c>
      <c r="D27" s="3" t="str">
        <f aca="false">IF(C27=TRUE(),"PASS","FAIL")</f>
        <v>PASS</v>
      </c>
    </row>
    <row r="28" customFormat="false" ht="15" hidden="false" customHeight="true" outlineLevel="0" collapsed="false">
      <c r="A28" s="3" t="s">
        <v>993</v>
      </c>
      <c r="B28" s="7" t="s">
        <v>989</v>
      </c>
      <c r="C28" s="15" t="b">
        <f aca="false">AND(MIN(Compounds!$F$118:$F$137)&gt;=Tier_Constants!D7,MAX(Compounds!$F$118:$F$137)&lt;=Tier_Constants!E7)</f>
        <v>1</v>
      </c>
      <c r="D28" s="3" t="str">
        <f aca="false">IF(C28=TRUE(),"PASS","FAIL")</f>
        <v>PASS</v>
      </c>
    </row>
    <row r="29" customFormat="false" ht="15" hidden="false" customHeight="true" outlineLevel="0" collapsed="false">
      <c r="A29" s="3" t="s">
        <v>994</v>
      </c>
      <c r="B29" s="7" t="s">
        <v>989</v>
      </c>
      <c r="C29" s="15" t="b">
        <f aca="false">AND(MIN(Compounds!$F$138:$F$152)&gt;=Tier_Constants!D8,MAX(Compounds!$F$138:$F$152)&lt;=Tier_Constants!E8)</f>
        <v>1</v>
      </c>
      <c r="D29" s="3" t="str">
        <f aca="false">IF(C29=TRUE(),"PASS","FAIL")</f>
        <v>PASS</v>
      </c>
    </row>
    <row r="30" customFormat="false" ht="15" hidden="false" customHeight="true" outlineLevel="0" collapsed="false">
      <c r="A30" s="3" t="s">
        <v>995</v>
      </c>
      <c r="B30" s="7" t="s">
        <v>989</v>
      </c>
      <c r="C30" s="15" t="b">
        <f aca="false">AND(MAX(Compounds!$F$3:$F$32)&lt;MIN(Compounds!$F$33:$F$62),MAX(Compounds!$F$33:$F$62)&lt;MIN(Compounds!$F$63:$F$92),MAX(Compounds!$F$63:$F$92)&lt;MIN(Compounds!$F$93:$F$117),MAX(Compounds!$F$93:$F$117)&lt;MIN(Compounds!$F$118:$F$137),MAX(Compounds!$F$118:$F$137)&lt;MIN(Compounds!$F$138:$F$152))</f>
        <v>1</v>
      </c>
      <c r="D30" s="3" t="str">
        <f aca="false">IF(C30=TRUE(),"PASS","FAIL")</f>
        <v>PASS</v>
      </c>
    </row>
    <row r="31" customFormat="false" ht="15" hidden="false" customHeight="true" outlineLevel="0" collapsed="false">
      <c r="A31" s="3" t="s">
        <v>996</v>
      </c>
      <c r="B31" s="7" t="s">
        <v>989</v>
      </c>
      <c r="C31" s="15" t="b">
        <f aca="false">AND(MIN(Exotics!$G$4:$G$123)&gt;=250000,MAX(Exotics!$G$4:$G$123)&lt;=800000)</f>
        <v>1</v>
      </c>
      <c r="D31" s="3" t="str">
        <f aca="false">IF(C31=TRUE(),"PASS","FAIL")</f>
        <v>PASS</v>
      </c>
    </row>
    <row r="33" customFormat="false" ht="15" hidden="false" customHeight="true" outlineLevel="0" collapsed="false">
      <c r="A33" s="2" t="s">
        <v>997</v>
      </c>
    </row>
    <row r="34" customFormat="false" ht="30" hidden="false" customHeight="true" outlineLevel="0" collapsed="false">
      <c r="A34" s="14" t="s">
        <v>998</v>
      </c>
      <c r="B34" s="14"/>
      <c r="C34" s="14"/>
      <c r="D34" s="16" t="s">
        <v>999</v>
      </c>
    </row>
    <row r="35" customFormat="false" ht="30" hidden="false" customHeight="true" outlineLevel="0" collapsed="false">
      <c r="A35" s="14" t="s">
        <v>1000</v>
      </c>
      <c r="B35" s="14"/>
      <c r="C35" s="14"/>
      <c r="D35" s="16" t="s">
        <v>999</v>
      </c>
    </row>
    <row r="36" customFormat="false" ht="30" hidden="false" customHeight="true" outlineLevel="0" collapsed="false">
      <c r="A36" s="14" t="s">
        <v>1001</v>
      </c>
      <c r="B36" s="14"/>
      <c r="C36" s="14"/>
      <c r="D36" s="16" t="s">
        <v>999</v>
      </c>
    </row>
    <row r="37" customFormat="false" ht="30" hidden="false" customHeight="true" outlineLevel="0" collapsed="false">
      <c r="A37" s="14" t="s">
        <v>1002</v>
      </c>
      <c r="B37" s="14"/>
      <c r="C37" s="14"/>
      <c r="D37" s="16" t="s">
        <v>999</v>
      </c>
    </row>
    <row r="38" customFormat="false" ht="30" hidden="false" customHeight="true" outlineLevel="0" collapsed="false">
      <c r="A38" s="14" t="s">
        <v>1003</v>
      </c>
      <c r="B38" s="14"/>
      <c r="C38" s="14"/>
      <c r="D38" s="16" t="s">
        <v>999</v>
      </c>
    </row>
    <row r="39" customFormat="false" ht="30" hidden="false" customHeight="true" outlineLevel="0" collapsed="false">
      <c r="A39" s="14" t="s">
        <v>1004</v>
      </c>
      <c r="B39" s="14"/>
      <c r="C39" s="14"/>
      <c r="D39" s="16" t="s">
        <v>999</v>
      </c>
    </row>
    <row r="40" customFormat="false" ht="30" hidden="false" customHeight="true" outlineLevel="0" collapsed="false">
      <c r="A40" s="14" t="s">
        <v>1005</v>
      </c>
      <c r="B40" s="14"/>
      <c r="C40" s="14"/>
      <c r="D40" s="16" t="s">
        <v>999</v>
      </c>
    </row>
    <row r="41" customFormat="false" ht="30" hidden="false" customHeight="true" outlineLevel="0" collapsed="false">
      <c r="A41" s="14" t="s">
        <v>1006</v>
      </c>
      <c r="B41" s="14"/>
      <c r="C41" s="14"/>
      <c r="D41" s="16" t="s">
        <v>999</v>
      </c>
    </row>
    <row r="42" customFormat="false" ht="30" hidden="false" customHeight="true" outlineLevel="0" collapsed="false">
      <c r="A42" s="14" t="s">
        <v>1007</v>
      </c>
      <c r="B42" s="14"/>
      <c r="C42" s="14"/>
      <c r="D42" s="16" t="s">
        <v>999</v>
      </c>
    </row>
    <row r="43" customFormat="false" ht="30" hidden="false" customHeight="true" outlineLevel="0" collapsed="false">
      <c r="A43" s="14" t="s">
        <v>1008</v>
      </c>
      <c r="B43" s="14"/>
      <c r="C43" s="14"/>
      <c r="D43" s="16" t="s">
        <v>999</v>
      </c>
    </row>
    <row r="44" customFormat="false" ht="30" hidden="false" customHeight="true" outlineLevel="0" collapsed="false">
      <c r="A44" s="14" t="s">
        <v>1009</v>
      </c>
      <c r="B44" s="14"/>
      <c r="C44" s="14"/>
      <c r="D44" s="16" t="s">
        <v>999</v>
      </c>
    </row>
    <row r="45" customFormat="false" ht="30" hidden="false" customHeight="true" outlineLevel="0" collapsed="false">
      <c r="A45" s="14" t="s">
        <v>1010</v>
      </c>
      <c r="B45" s="14"/>
      <c r="C45" s="14"/>
      <c r="D45" s="17" t="s">
        <v>999</v>
      </c>
    </row>
  </sheetData>
  <mergeCells count="12"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2026-06-11T01:46:47Z</dcterms:created>
  <dc:creator>openpyxl</dc:creator>
  <dc:description/>
  <dc:language>en-US</dc:language>
  <cp:lastModifiedBy/>
  <dcterms:modified xsi:type="dcterms:W3CDTF">2026-06-12T04:46:38Z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